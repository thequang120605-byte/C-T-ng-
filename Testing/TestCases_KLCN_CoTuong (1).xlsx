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11" autoFilterDateGrouping="1"/>
  </bookViews>
  <sheets>
    <sheet xmlns:r="http://schemas.openxmlformats.org/officeDocument/2006/relationships" name="01_Cover_Info" sheetId="1" state="visible" r:id="rId1"/>
    <sheet xmlns:r="http://schemas.openxmlformats.org/officeDocument/2006/relationships" name="02_Test_Strategy" sheetId="2" state="visible" r:id="rId2"/>
    <sheet xmlns:r="http://schemas.openxmlformats.org/officeDocument/2006/relationships" name="03_Test_Summary" sheetId="3" state="visible" r:id="rId3"/>
    <sheet xmlns:r="http://schemas.openxmlformats.org/officeDocument/2006/relationships" name="04_TC_Auth_Profile" sheetId="4" state="visible" r:id="rId4"/>
    <sheet xmlns:r="http://schemas.openxmlformats.org/officeDocument/2006/relationships" name="05_TC_Chess_Rules" sheetId="5" state="visible" r:id="rId5"/>
    <sheet xmlns:r="http://schemas.openxmlformats.org/officeDocument/2006/relationships" name="06_TC_Game_Play" sheetId="6" state="visible" r:id="rId6"/>
    <sheet xmlns:r="http://schemas.openxmlformats.org/officeDocument/2006/relationships" name="07_TC_Online_SignalR" sheetId="7" state="visible" r:id="rId7"/>
    <sheet xmlns:r="http://schemas.openxmlformats.org/officeDocument/2006/relationships" name="08_TC_Puzzle_Cothe" sheetId="8" state="visible" r:id="rId8"/>
    <sheet xmlns:r="http://schemas.openxmlformats.org/officeDocument/2006/relationships" name="09_TC_Course_Master" sheetId="9" state="visible" r:id="rId9"/>
    <sheet xmlns:r="http://schemas.openxmlformats.org/officeDocument/2006/relationships" name="10_TC_Admin_System" sheetId="10" state="visible" r:id="rId10"/>
    <sheet xmlns:r="http://schemas.openxmlformats.org/officeDocument/2006/relationships" name="11_TC_Mobile_Specific" sheetId="11" state="visible" r:id="rId11"/>
    <sheet xmlns:r="http://schemas.openxmlformats.org/officeDocument/2006/relationships" name="12_Defect_Log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Calibri"/>
      <family val="2"/>
      <color theme="1"/>
      <sz val="11"/>
      <scheme val="minor"/>
    </font>
    <font>
      <name val="Segoe UI"/>
      <family val="2"/>
      <b val="1"/>
      <color rgb="FF0F172A"/>
      <sz val="18"/>
    </font>
    <font>
      <name val="Segoe UI"/>
      <family val="2"/>
      <b val="1"/>
      <color rgb="FFB45309"/>
      <sz val="13"/>
    </font>
    <font>
      <name val="Segoe UI"/>
      <family val="2"/>
      <i val="1"/>
      <color rgb="FF475569"/>
      <sz val="10.5"/>
    </font>
    <font>
      <name val="Segoe UI"/>
      <family val="2"/>
      <b val="1"/>
      <color rgb="FFFFFFFF"/>
      <sz val="11"/>
    </font>
    <font>
      <name val="Segoe UI"/>
      <family val="2"/>
      <b val="1"/>
      <color theme="1"/>
      <sz val="10"/>
    </font>
    <font>
      <name val="Segoe UI"/>
      <family val="2"/>
      <color theme="1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1E293B"/>
      <sz val="10"/>
    </font>
    <font>
      <name val="Segoe UI"/>
      <family val="2"/>
      <b val="1"/>
      <color rgb="FF065F46"/>
      <sz val="10"/>
    </font>
    <font>
      <name val="Segoe UI"/>
      <family val="2"/>
      <b val="1"/>
      <color rgb="FF991B1B"/>
      <sz val="10"/>
    </font>
    <font>
      <name val="Segoe UI"/>
      <family val="2"/>
      <b val="1"/>
      <color rgb="FF1E40AF"/>
      <sz val="10"/>
    </font>
    <font>
      <name val="Segoe UI"/>
      <family val="2"/>
      <b val="1"/>
      <color rgb="FF1E293B"/>
      <sz val="20"/>
    </font>
    <font>
      <name val="Segoe UI"/>
      <family val="2"/>
      <b val="1"/>
      <color rgb="FF059669"/>
      <sz val="20"/>
    </font>
    <font>
      <name val="Segoe UI"/>
      <family val="2"/>
      <b val="1"/>
      <color rgb="FFDC2626"/>
      <sz val="20"/>
    </font>
    <font>
      <name val="Segoe UI"/>
      <family val="2"/>
      <b val="1"/>
      <color rgb="FF2563EB"/>
      <sz val="20"/>
    </font>
    <font>
      <name val="Segoe UI"/>
      <family val="2"/>
      <b val="1"/>
      <color rgb="FFFFFFFF"/>
      <sz val="10.5"/>
    </font>
    <font>
      <name val="Segoe UI"/>
      <family val="2"/>
      <b val="1"/>
      <color rgb="FF0F172A"/>
      <sz val="14"/>
    </font>
    <font>
      <name val="Segoe UI"/>
      <family val="2"/>
      <i val="1"/>
      <color rgb="FF64748B"/>
      <sz val="10"/>
    </font>
    <font>
      <name val="Segoe UI"/>
      <family val="2"/>
      <b val="1"/>
      <color rgb="FFFFFFFF"/>
      <sz val="9.5"/>
    </font>
    <font>
      <name val="Segoe UI"/>
      <family val="2"/>
      <b val="1"/>
      <color rgb="FF78350F"/>
      <sz val="9.5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Segoe UI"/>
      <family val="2"/>
      <b val="1"/>
      <color rgb="FFDC2626"/>
      <sz val="9"/>
    </font>
    <font>
      <name val="Segoe UI"/>
      <family val="2"/>
      <b val="1"/>
      <color rgb="FFD97706"/>
      <sz val="9"/>
    </font>
    <font>
      <name val="Segoe UI"/>
      <family val="2"/>
      <b val="1"/>
      <color rgb="FF2563EB"/>
      <sz val="9"/>
    </font>
    <font>
      <name val="Times New Roman"/>
      <family val="1"/>
      <b val="1"/>
      <color rgb="FFFFFFFF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rgb="FF78350F"/>
      <sz val="11"/>
    </font>
    <font>
      <name val="Times New Roman"/>
      <family val="1"/>
      <b val="1"/>
      <color rgb="FFDC2626"/>
      <sz val="11"/>
    </font>
    <font>
      <name val="Times New Roman"/>
      <family val="1"/>
      <b val="1"/>
      <color rgb="FFD97706"/>
      <sz val="11"/>
    </font>
    <font>
      <name val="Segoe UI"/>
      <b val="1"/>
      <color rgb="FF274E13"/>
      <sz val="10"/>
    </font>
    <font>
      <name val="Segoe UI"/>
      <b val="1"/>
      <color rgb="FF990000"/>
      <sz val="10"/>
    </font>
    <font>
      <name val="Segoe UI"/>
      <b val="1"/>
      <color rgb="00990000"/>
      <sz val="10"/>
    </font>
  </fonts>
  <fills count="17">
    <fill>
      <patternFill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00F4CCCC"/>
        <bgColor rgb="00F4CCCC"/>
      </patternFill>
    </fill>
  </fills>
  <borders count="4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64748B"/>
      </right>
      <top style="thin">
        <color rgb="FF64748B"/>
      </top>
      <bottom style="thin">
        <color rgb="FF64748B"/>
      </bottom>
      <diagonal/>
    </border>
    <border>
      <left/>
      <right/>
      <top style="thin">
        <color rgb="FF475569"/>
      </top>
      <bottom style="thin">
        <color rgb="FF475569"/>
      </bottom>
      <diagonal/>
    </border>
    <border>
      <left/>
      <right style="thin">
        <color rgb="FF475569"/>
      </right>
      <top style="thin">
        <color rgb="FF475569"/>
      </top>
      <bottom style="thin">
        <color rgb="FF475569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/>
      <right style="thin">
        <color rgb="FF059669"/>
      </right>
      <top style="thin">
        <color rgb="FF059669"/>
      </top>
      <bottom style="thin">
        <color rgb="FF059669"/>
      </bottom>
      <diagonal/>
    </border>
    <border>
      <left/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/>
      <right style="medium">
        <color rgb="FFDC2626"/>
      </right>
      <top style="medium">
        <color rgb="FFDC2626"/>
      </top>
      <bottom style="medium">
        <color rgb="FFDC2626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/>
      <right/>
      <top style="thin">
        <color rgb="FF475569"/>
      </top>
      <bottom/>
      <diagonal/>
    </border>
    <border>
      <left/>
      <right style="thin">
        <color rgb="FF475569"/>
      </right>
      <top style="thin">
        <color rgb="FF475569"/>
      </top>
      <bottom/>
      <diagonal/>
    </border>
    <border>
      <left/>
      <right/>
      <top style="medium">
        <color rgb="FF94A3B8"/>
      </top>
      <bottom/>
      <diagonal/>
    </border>
    <border>
      <left/>
      <right style="medium">
        <color rgb="FF94A3B8"/>
      </right>
      <top style="medium">
        <color rgb="FF94A3B8"/>
      </top>
      <bottom/>
      <diagonal/>
    </border>
    <border>
      <left/>
      <right/>
      <top style="medium">
        <color rgb="FF2563EB"/>
      </top>
      <bottom/>
      <diagonal/>
    </border>
    <border>
      <left/>
      <right style="medium">
        <color rgb="FF2563EB"/>
      </right>
      <top style="medium">
        <color rgb="FF2563EB"/>
      </top>
      <bottom/>
      <diagonal/>
    </border>
    <border>
      <left/>
      <right/>
      <top style="medium">
        <color rgb="FF059669"/>
      </top>
      <bottom/>
      <diagonal/>
    </border>
    <border>
      <left/>
      <right style="medium">
        <color rgb="FF059669"/>
      </right>
      <top style="medium">
        <color rgb="FF059669"/>
      </top>
      <bottom/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/>
      <right/>
      <top style="thin">
        <color rgb="FF059669"/>
      </top>
      <bottom/>
      <diagonal/>
    </border>
    <border>
      <left/>
      <right style="thin">
        <color rgb="FF059669"/>
      </right>
      <top style="thin">
        <color rgb="FF059669"/>
      </top>
      <bottom/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/>
      <right/>
      <top style="medium">
        <color rgb="FFDC2626"/>
      </top>
      <bottom/>
      <diagonal/>
    </border>
    <border>
      <left/>
      <right style="medium">
        <color rgb="FFDC2626"/>
      </right>
      <top style="medium">
        <color rgb="FFDC2626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16" fillId="2" borderId="11" applyAlignment="1" pivotButton="0" quotePrefix="0" xfId="0">
      <alignment horizontal="center" vertical="center"/>
    </xf>
    <xf numFmtId="164" fontId="16" fillId="2" borderId="11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 wrapText="1"/>
    </xf>
    <xf numFmtId="0" fontId="20" fillId="12" borderId="12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center" vertical="center"/>
    </xf>
    <xf numFmtId="0" fontId="25" fillId="11" borderId="1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 wrapText="1"/>
    </xf>
    <xf numFmtId="0" fontId="29" fillId="12" borderId="12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left" vertical="center" wrapText="1"/>
    </xf>
    <xf numFmtId="0" fontId="30" fillId="6" borderId="1" applyAlignment="1" pivotButton="0" quotePrefix="0" xfId="0">
      <alignment horizontal="center" vertical="center"/>
    </xf>
    <xf numFmtId="0" fontId="31" fillId="13" borderId="1" applyAlignment="1" pivotButton="0" quotePrefix="0" xfId="0">
      <alignment horizontal="center" vertical="center"/>
    </xf>
    <xf numFmtId="0" fontId="27" fillId="0" borderId="0" pivotButton="0" quotePrefix="0" xfId="0"/>
    <xf numFmtId="0" fontId="26" fillId="3" borderId="2" applyAlignment="1" pivotButton="0" quotePrefix="0" xfId="0">
      <alignment horizontal="center" vertical="center"/>
    </xf>
    <xf numFmtId="0" fontId="32" fillId="14" borderId="1" applyAlignment="1" pivotButton="0" quotePrefix="0" xfId="0">
      <alignment horizontal="center" vertical="center"/>
    </xf>
    <xf numFmtId="0" fontId="33" fillId="1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0" fillId="0" borderId="15" pivotButton="0" quotePrefix="0" xfId="0"/>
    <xf numFmtId="0" fontId="26" fillId="2" borderId="0" applyAlignment="1" pivotButton="0" quotePrefix="0" xfId="0">
      <alignment horizontal="left" vertical="center" indent="1"/>
    </xf>
    <xf numFmtId="0" fontId="16" fillId="2" borderId="1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2" fillId="8" borderId="7" applyAlignment="1" pivotButton="0" quotePrefix="0" xfId="0">
      <alignment horizontal="center" vertical="center"/>
    </xf>
    <xf numFmtId="0" fontId="0" fillId="0" borderId="19" pivotButton="0" quotePrefix="0" xfId="0"/>
    <xf numFmtId="164" fontId="15" fillId="11" borderId="10" applyAlignment="1" pivotButton="0" quotePrefix="0" xfId="0">
      <alignment horizontal="center" vertical="center"/>
    </xf>
    <xf numFmtId="0" fontId="0" fillId="0" borderId="25" pivotButton="0" quotePrefix="0" xfId="0"/>
    <xf numFmtId="0" fontId="13" fillId="9" borderId="8" applyAlignment="1" pivotButton="0" quotePrefix="0" xfId="0">
      <alignment horizontal="center" vertical="center"/>
    </xf>
    <xf numFmtId="0" fontId="0" fillId="0" borderId="21" pivotButton="0" quotePrefix="0" xfId="0"/>
    <xf numFmtId="0" fontId="8" fillId="4" borderId="3" applyAlignment="1" pivotButton="0" quotePrefix="0" xfId="0">
      <alignment horizontal="center" vertical="center"/>
    </xf>
    <xf numFmtId="0" fontId="0" fillId="0" borderId="18" pivotButton="0" quotePrefix="0" xfId="0"/>
    <xf numFmtId="0" fontId="10" fillId="6" borderId="5" applyAlignment="1" pivotButton="0" quotePrefix="0" xfId="0">
      <alignment horizontal="center" vertical="center"/>
    </xf>
    <xf numFmtId="0" fontId="0" fillId="0" borderId="22" pivotButton="0" quotePrefix="0" xfId="0"/>
    <xf numFmtId="0" fontId="9" fillId="5" borderId="4" applyAlignment="1" pivotButton="0" quotePrefix="0" xfId="0">
      <alignment horizontal="center" vertical="center"/>
    </xf>
    <xf numFmtId="0" fontId="0" fillId="0" borderId="20" pivotButton="0" quotePrefix="0" xfId="0"/>
    <xf numFmtId="0" fontId="11" fillId="7" borderId="6" applyAlignment="1" pivotButton="0" quotePrefix="0" xfId="0">
      <alignment horizontal="center" vertical="center"/>
    </xf>
    <xf numFmtId="0" fontId="0" fillId="0" borderId="24" pivotButton="0" quotePrefix="0" xfId="0"/>
    <xf numFmtId="0" fontId="14" fillId="10" borderId="9" applyAlignment="1" pivotButton="0" quotePrefix="0" xfId="0">
      <alignment horizontal="center" vertical="center"/>
    </xf>
    <xf numFmtId="0" fontId="0" fillId="0" borderId="23" pivotButton="0" quotePrefix="0" xfId="0"/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34" fillId="16" borderId="1" applyAlignment="1" pivotButton="0" quotePrefix="0" xfId="0">
      <alignment horizontal="center" vertical="center"/>
    </xf>
    <xf numFmtId="0" fontId="27" fillId="0" borderId="48" applyAlignment="1" pivotButton="0" quotePrefix="0" xfId="0">
      <alignment horizontal="center" vertical="center" wrapText="1"/>
    </xf>
    <xf numFmtId="0" fontId="28" fillId="0" borderId="48" applyAlignment="1" pivotButton="0" quotePrefix="0" xfId="0">
      <alignment horizontal="center" vertical="center" wrapText="1"/>
    </xf>
    <xf numFmtId="0" fontId="27" fillId="0" borderId="48" applyAlignment="1" pivotButton="0" quotePrefix="0" xfId="0">
      <alignment horizontal="left" vertical="center" wrapText="1"/>
    </xf>
    <xf numFmtId="0" fontId="34" fillId="16" borderId="4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topLeftCell="A16" workbookViewId="0">
      <selection activeCell="C16" sqref="C16:E16"/>
    </sheetView>
  </sheetViews>
  <sheetFormatPr baseColWidth="8" defaultRowHeight="14.4"/>
  <cols>
    <col width="4.6640625" customWidth="1" style="34" min="1" max="1"/>
    <col width="32.6640625" bestFit="1" customWidth="1" style="34" min="2" max="2"/>
    <col width="40.6640625" customWidth="1" style="34" min="3" max="3"/>
    <col width="20.6640625" customWidth="1" style="34" min="4" max="4"/>
    <col width="117.77734375" bestFit="1" customWidth="1" style="34" min="5" max="5"/>
  </cols>
  <sheetData>
    <row r="2" ht="28.05" customHeight="1" s="34">
      <c r="B2" s="37" t="inlineStr">
        <is>
          <t>BÁO CÁO KẾ HOẠCH &amp; KỊCH BẢN KIỂM THỬ PHẦN MỀM (TEST PLAN &amp; TEST CASES)</t>
        </is>
      </c>
    </row>
    <row r="3" ht="22.05" customHeight="1" s="34">
      <c r="B3" s="36" t="inlineStr">
        <is>
          <t>HỆ THỐNG CỜ TƯỚNG THÔNG MINH ĐA NỀN TẢNG (WEB &amp; MOBILE) KẾT HỢP AI &amp; SIGNALR</t>
        </is>
      </c>
    </row>
    <row r="4" ht="18" customHeight="1" s="34">
      <c r="B4" s="35" t="inlineStr">
        <is>
          <t>Đồ án Khóa Luận Tốt Nghiệp Ngành Công Nghệ Thông Tin / Kỹ Thuật Phần Mềm</t>
        </is>
      </c>
    </row>
    <row r="6" ht="16.8" customHeight="1" s="34">
      <c r="B6" s="33" t="inlineStr">
        <is>
          <t>1. THÔNG TIN CHUNG DỰ ÁN</t>
        </is>
      </c>
    </row>
    <row r="8" ht="22.05" customHeight="1" s="34">
      <c r="B8" s="1" t="inlineStr">
        <is>
          <t>Tên Đồ án / Dự án:</t>
        </is>
      </c>
      <c r="C8" s="30" t="inlineStr">
        <is>
          <t>Hệ Thống Cờ Tướng Thông Minh Đa Nền Tảng (ChessCore)</t>
        </is>
      </c>
      <c r="D8" s="31" t="n"/>
      <c r="E8" s="32" t="n"/>
    </row>
    <row r="9" ht="22.05" customHeight="1" s="34">
      <c r="B9" s="1" t="inlineStr">
        <is>
          <t>Mã Đồ án:</t>
        </is>
      </c>
      <c r="C9" s="30" t="inlineStr">
        <is>
          <t>KLCN_153_CO_TUONG</t>
        </is>
      </c>
      <c r="D9" s="31" t="n"/>
      <c r="E9" s="32" t="n"/>
    </row>
    <row r="10" ht="22.05" customHeight="1" s="34">
      <c r="B10" s="1" t="inlineStr">
        <is>
          <t>Công nghệ Nền tảng:</t>
        </is>
      </c>
      <c r="C10" s="30" t="inlineStr">
        <is>
          <t>Web (ASP.NET Core 9 MVC) + Mobile (Flutter Cross-platform) + SignalR Realtime</t>
        </is>
      </c>
      <c r="D10" s="31" t="n"/>
      <c r="E10" s="32" t="n"/>
    </row>
    <row r="11" ht="22.05" customHeight="1" s="34">
      <c r="B11" s="1" t="inlineStr">
        <is>
          <t>Sinh viên Thực hiện:</t>
        </is>
      </c>
      <c r="C11" s="30" t="n"/>
      <c r="D11" s="31" t="n"/>
      <c r="E11" s="32" t="n"/>
    </row>
    <row r="12" ht="22.05" customHeight="1" s="34">
      <c r="B12" s="1" t="inlineStr">
        <is>
          <t>Giáo viên Hướng dẫn:</t>
        </is>
      </c>
      <c r="C12" s="30" t="n"/>
      <c r="D12" s="31" t="n"/>
      <c r="E12" s="32" t="n"/>
    </row>
    <row r="13" ht="22.05" customHeight="1" s="34">
      <c r="B13" s="1" t="inlineStr">
        <is>
          <t>Ngày bắt đầu kiểm thử:</t>
        </is>
      </c>
      <c r="C13" s="30" t="inlineStr">
        <is>
          <t>27/10/2026</t>
        </is>
      </c>
      <c r="D13" s="31" t="n"/>
      <c r="E13" s="32" t="n"/>
    </row>
    <row r="14" ht="22.05" customHeight="1" s="34">
      <c r="B14" s="1" t="inlineStr">
        <is>
          <t>Người thực hiện kiểm thử (Tester):</t>
        </is>
      </c>
      <c r="C14" s="30" t="inlineStr">
        <is>
          <t>Tester độc lập (Bộ Test Runner Tự động)</t>
        </is>
      </c>
      <c r="D14" s="31" t="n"/>
      <c r="E14" s="32" t="n"/>
    </row>
    <row r="15" ht="22.05" customHeight="1" s="34">
      <c r="B15" s="1" t="inlineStr">
        <is>
          <t>Phiên bản tài liệu (Version):</t>
        </is>
      </c>
      <c r="C15" s="38" t="inlineStr">
        <is>
          <t>v2.0</t>
        </is>
      </c>
      <c r="D15" s="31" t="n"/>
      <c r="E15" s="32" t="n"/>
    </row>
    <row r="16" ht="22.05" customHeight="1" s="34">
      <c r="B16" s="1" t="inlineStr">
        <is>
          <t>Tình trạng kết quả:</t>
        </is>
      </c>
      <c r="C16" s="30" t="inlineStr">
        <is>
          <t>Đã hoàn tất kiểm thử chu kỳ 1</t>
        </is>
      </c>
      <c r="D16" s="31" t="n"/>
      <c r="E16" s="32" t="n"/>
    </row>
    <row r="18" ht="16.8" customHeight="1" s="34">
      <c r="B18" s="33" t="inlineStr">
        <is>
          <t>2. LỊCH SỬ CẬP NHẬT TÀI LIỆU</t>
        </is>
      </c>
    </row>
    <row r="20" ht="15" customHeight="1" s="34">
      <c r="B20" s="39" t="inlineStr">
        <is>
          <t>Phiên bản</t>
        </is>
      </c>
      <c r="C20" s="39" t="inlineStr">
        <is>
          <t>Ngày cập nhật</t>
        </is>
      </c>
      <c r="D20" s="39" t="inlineStr">
        <is>
          <t>Tác giả</t>
        </is>
      </c>
      <c r="E20" s="39" t="inlineStr">
        <is>
          <t>Mô tả thay đổi</t>
        </is>
      </c>
    </row>
    <row r="21" ht="22.05" customHeight="1" s="34">
      <c r="B21" s="4" t="inlineStr">
        <is>
          <t>v1.0</t>
        </is>
      </c>
      <c r="C21" s="4" t="inlineStr">
        <is>
          <t>20/10/2026</t>
        </is>
      </c>
      <c r="D21" s="4" t="inlineStr">
        <is>
          <t>Tác giả đồ án</t>
        </is>
      </c>
      <c r="E21" s="30" t="inlineStr">
        <is>
          <t>Khởi tạo bộ kịch bản kiểm thử ban đầu cho bản Web</t>
        </is>
      </c>
    </row>
    <row r="22" ht="22.05" customHeight="1" s="34">
      <c r="B22" s="4" t="inlineStr">
        <is>
          <t>v1.5</t>
        </is>
      </c>
      <c r="C22" s="4" t="inlineStr">
        <is>
          <t>25/10/2026</t>
        </is>
      </c>
      <c r="D22" s="4" t="inlineStr">
        <is>
          <t>Tác giả đồ án</t>
        </is>
      </c>
      <c r="E22" s="30" t="inlineStr">
        <is>
          <t>Bổ sung kịch bản kiểm thử Realtime SignalR, Đồng hồ rụng kim và AI</t>
        </is>
      </c>
    </row>
    <row r="23" ht="22.05" customHeight="1" s="34">
      <c r="B23" s="4" t="inlineStr">
        <is>
          <t>v2.0</t>
        </is>
      </c>
      <c r="C23" s="4" t="inlineStr">
        <is>
          <t>27/10/2026</t>
        </is>
      </c>
      <c r="D23" s="4" t="inlineStr">
        <is>
          <t>Tác giả đồ án</t>
        </is>
      </c>
      <c r="E23" s="30" t="inlineStr">
        <is>
          <t>Hoàn thiện đầy đủ 12 sheet kiểm thử chi tiết Web &amp; Mobile, phân hệ Admin, để trống kết quả để tester tiến hành thử nghiệm độc lập</t>
        </is>
      </c>
    </row>
    <row r="25">
      <c r="B25" t="inlineStr">
        <is>
          <t>3. THÔNG TIN ĐỒNG BỘ MÃ NGUỒN TỪ CLOUD (GIT SYNC INFO)</t>
        </is>
      </c>
    </row>
    <row r="26">
      <c r="B26" t="inlineStr">
        <is>
          <t>Kho mã nguồn Cloud (Git Remote):</t>
        </is>
      </c>
      <c r="C26" t="inlineStr">
        <is>
          <t>https://github.com/thequang120605-byte/C-T-ng-.git</t>
        </is>
      </c>
    </row>
    <row r="27">
      <c r="B27" t="inlineStr">
        <is>
          <t>Nhánh kiểm thử (Target Branch):</t>
        </is>
      </c>
      <c r="C27" t="inlineStr">
        <is>
          <t>main (Origin Main)</t>
        </is>
      </c>
    </row>
    <row r="28">
      <c r="B28" t="inlineStr">
        <is>
          <t>Mã Commit mới nhất (Commit Hash):</t>
        </is>
      </c>
      <c r="C28" t="inlineStr">
        <is>
          <t>52885c7ecfcd53c2cecc6c73cba7f4231e996efc</t>
        </is>
      </c>
    </row>
    <row r="29">
      <c r="B29" t="inlineStr">
        <is>
          <t>Thông điệp Commit (Commit Message):</t>
        </is>
      </c>
      <c r="C29" t="inlineStr">
        <is>
          <t>fix(master-game): remove unused exception variable warning</t>
        </is>
      </c>
    </row>
    <row r="30">
      <c r="B30" t="inlineStr">
        <is>
          <t>Tác giả commit (Author):</t>
        </is>
      </c>
      <c r="C30" t="inlineStr">
        <is>
          <t>nguyentrongnguyen3004-eng &lt;nguyentrongnguyen3004@gmail.com&gt;</t>
        </is>
      </c>
    </row>
    <row r="31">
      <c r="B31" t="inlineStr">
        <is>
          <t>Thời gian commit trên Cloud:</t>
        </is>
      </c>
      <c r="C31" t="inlineStr">
        <is>
          <t>Mon Oct 26 12:25:07 2026 +0700</t>
        </is>
      </c>
    </row>
    <row r="32">
      <c r="B32" t="inlineStr">
        <is>
          <t>Thời gian Pull / Đồng bộ kiểm thử:</t>
        </is>
      </c>
      <c r="C32" t="inlineStr">
        <is>
          <t>27/10/2026 21:46:44 (UTC+7)</t>
        </is>
      </c>
    </row>
    <row r="33">
      <c r="B33" t="inlineStr">
        <is>
          <t>Trạng thái mã nguồn:</t>
        </is>
      </c>
      <c r="C33" t="inlineStr">
        <is>
          <t>Đã đồng bộ mới nhất từ origin/main trên Cloud (Clean Working Tree)</t>
        </is>
      </c>
    </row>
  </sheetData>
  <mergeCells count="14">
    <mergeCell ref="C16:E16"/>
    <mergeCell ref="B18:E18"/>
    <mergeCell ref="C14:E14"/>
    <mergeCell ref="C11:E11"/>
    <mergeCell ref="B4:E4"/>
    <mergeCell ref="C13:E13"/>
    <mergeCell ref="B6:E6"/>
    <mergeCell ref="C8:E8"/>
    <mergeCell ref="C9:E9"/>
    <mergeCell ref="B3:E3"/>
    <mergeCell ref="B2:E2"/>
    <mergeCell ref="C15:E15"/>
    <mergeCell ref="C12:E12"/>
    <mergeCell ref="C10:E10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4"/>
  <sheetViews>
    <sheetView topLeftCell="A8" workbookViewId="0">
      <selection activeCell="C16" sqref="C16"/>
    </sheetView>
  </sheetViews>
  <sheetFormatPr baseColWidth="8" defaultRowHeight="14.4"/>
  <cols>
    <col width="4.6640625" customWidth="1" style="34" min="1" max="1"/>
    <col width="24.6640625" customWidth="1" style="34" min="2" max="2"/>
    <col width="45.6640625" customWidth="1" style="34" min="3" max="3"/>
    <col width="20.6640625" customWidth="1" style="34" min="4" max="4"/>
    <col width="30.6640625" customWidth="1" style="34" min="5" max="5"/>
  </cols>
  <sheetData>
    <row r="2" ht="27" customHeight="1" s="34">
      <c r="B2" s="37" t="inlineStr">
        <is>
          <t>CHIẾN LƯỢC &amp; QUY TRÌNH KIỂM THỬ (TEST STRATEGY)</t>
        </is>
      </c>
    </row>
    <row r="3" ht="16.8" customHeight="1" s="34">
      <c r="B3" s="35" t="inlineStr">
        <is>
          <t>Quy ước, Môi trường thử nghiệm và Tiêu chí nghiệm thu</t>
        </is>
      </c>
    </row>
    <row r="5" ht="16.8" customHeight="1" s="34">
      <c r="B5" s="33" t="inlineStr">
        <is>
          <t>1. MÔI TRƯỜNG KIỂM THỬ (TEST ENVIRONMENTS)</t>
        </is>
      </c>
    </row>
    <row r="7" ht="15" customHeight="1" s="34">
      <c r="B7" s="1" t="inlineStr">
        <is>
          <t>Thiết bị Web Client:</t>
        </is>
      </c>
      <c r="C7" s="30" t="inlineStr">
        <is>
          <t>Google Chrome (v155+), Microsoft Edge (v156+), Mozilla Firefox</t>
        </is>
      </c>
      <c r="D7" s="31" t="n"/>
      <c r="E7" s="32" t="n"/>
    </row>
    <row r="8" ht="15" customHeight="1" s="34">
      <c r="B8" s="1" t="inlineStr">
        <is>
          <t>Thiết bị Mobile Client:</t>
        </is>
      </c>
      <c r="C8" s="30" t="inlineStr">
        <is>
          <t>Điện thoại thật Android (Oppo/Realme CPH2801 - Android 14/15/16) + Máy ảo Pixel Android</t>
        </is>
      </c>
      <c r="D8" s="31" t="n"/>
      <c r="E8" s="32" t="n"/>
    </row>
    <row r="9" ht="15" customHeight="1" s="34">
      <c r="B9" s="1" t="inlineStr">
        <is>
          <t>Máy chủ Backend:</t>
        </is>
      </c>
      <c r="C9" s="30" t="inlineStr">
        <is>
          <t>ASP.NET Core 9 Web API &amp; SignalR Hub (Chạy tại http://localhost:5000)</t>
        </is>
      </c>
      <c r="D9" s="31" t="n"/>
      <c r="E9" s="32" t="n"/>
    </row>
    <row r="10" ht="15" customHeight="1" s="34">
      <c r="B10" s="1" t="inlineStr">
        <is>
          <t>Cơ sở dữ liệu:</t>
        </is>
      </c>
      <c r="C10" s="30" t="inlineStr">
        <is>
          <t>SQLite Database (Entity Framework Core 9 Code-First with Migrations)</t>
        </is>
      </c>
      <c r="D10" s="31" t="n"/>
      <c r="E10" s="32" t="n"/>
    </row>
    <row r="11" ht="15" customHeight="1" s="34">
      <c r="B11" s="1" t="inlineStr">
        <is>
          <t>Độ phân giải màn hình test:</t>
        </is>
      </c>
      <c r="C11" s="30" t="inlineStr">
        <is>
          <t>Desktop: 1920x1080, 1366x768 | Mobile: 390x844 (iPhone), 412x915 (Android), Tablet</t>
        </is>
      </c>
      <c r="D11" s="31" t="n"/>
      <c r="E11" s="32" t="n"/>
    </row>
    <row r="12" ht="16.8" customHeight="1" s="34">
      <c r="B12" s="33" t="inlineStr">
        <is>
          <t>2. ĐỊNH NGHĨA MỨC ĐỘ ƯU TIÊN (PRIORITY)</t>
        </is>
      </c>
    </row>
    <row r="14">
      <c r="B14" s="27" t="inlineStr">
        <is>
          <t>Mức độ</t>
        </is>
      </c>
      <c r="C14" s="27" t="inlineStr">
        <is>
          <t>Tên quy ước</t>
        </is>
      </c>
      <c r="D14" s="27" t="inlineStr">
        <is>
          <t>Mô tả chi tiết</t>
        </is>
      </c>
      <c r="E14" s="27" t="inlineStr">
        <is>
          <t>Yêu cầu xử lý</t>
        </is>
      </c>
    </row>
    <row r="15" ht="69" customHeight="1" s="34">
      <c r="B15" s="19" t="inlineStr">
        <is>
          <t>High</t>
        </is>
      </c>
      <c r="C15" s="20" t="inlineStr">
        <is>
          <t>P1 - Blocker / Critical</t>
        </is>
      </c>
      <c r="D15" s="38" t="inlineStr">
        <is>
          <t>Lỗi nghiêm trọng làm sập hệ thống (Crash), sai luật cờ căn bản, không thể đăng nhập hoặc vỡ ván cờ</t>
        </is>
      </c>
      <c r="E15" s="38" t="inlineStr">
        <is>
          <t>Bắt buộc sửa ngay lập tức trước khi phát hành</t>
        </is>
      </c>
    </row>
    <row r="16" ht="82.8" customHeight="1" s="34">
      <c r="B16" s="19" t="inlineStr">
        <is>
          <t>Medium</t>
        </is>
      </c>
      <c r="C16" s="20" t="inlineStr">
        <is>
          <t>P2 - Major</t>
        </is>
      </c>
      <c r="D16" s="38" t="inlineStr">
        <is>
          <t>Lỗi chức năng quan trọng nhưng có phương án thay thế, tính điểm Elo sai lệch nhỏ, timeout chưa kích hoạt đúng</t>
        </is>
      </c>
      <c r="E16" s="38" t="inlineStr">
        <is>
          <t>Cần khắc phục trong đợt cập nhật chính</t>
        </is>
      </c>
    </row>
    <row r="17" ht="69" customHeight="1" s="34">
      <c r="B17" s="19" t="inlineStr">
        <is>
          <t>Low</t>
        </is>
      </c>
      <c r="C17" s="20" t="inlineStr">
        <is>
          <t>P3 - Minor / Trivial</t>
        </is>
      </c>
      <c r="D17" s="38" t="inlineStr">
        <is>
          <t>Lỗi giao diện (UI), lệch màu, cỡ chữ nhỏ, thiếu hiệu ứng âm thanh phụ hoặc câu từ chú thích chưa đẹp</t>
        </is>
      </c>
      <c r="E17" s="38" t="inlineStr">
        <is>
          <t>Có thể cải tiến và hoàn thiện dần</t>
        </is>
      </c>
    </row>
    <row r="18">
      <c r="B18" s="41" t="inlineStr">
        <is>
          <t>3. ĐỊNH NGHĨA TRẠNG THÁI KIỂM THỬ (TEST STATUS)</t>
        </is>
      </c>
    </row>
    <row r="20" ht="15" customHeight="1" s="34">
      <c r="B20" s="39" t="inlineStr">
        <is>
          <t>Trạng thái</t>
        </is>
      </c>
      <c r="C20" s="39" t="inlineStr">
        <is>
          <t>Ý nghĩa</t>
        </is>
      </c>
      <c r="D20" s="39" t="inlineStr">
        <is>
          <t>Hướng dẫn cho Tester khi điền</t>
        </is>
      </c>
      <c r="E20" s="40" t="n"/>
    </row>
    <row r="21" ht="15" customHeight="1" s="34">
      <c r="B21" s="4" t="inlineStr">
        <is>
          <t>Pass</t>
        </is>
      </c>
      <c r="C21" s="1" t="inlineStr">
        <is>
          <t>Kiểm thử thành công, kết quả thực tế đúng 100% kết quả mong đợi</t>
        </is>
      </c>
      <c r="D21" s="30" t="inlineStr">
        <is>
          <t>Chọn 'Pass' trong menu dropdown cột Trạng thái</t>
        </is>
      </c>
      <c r="E21" s="32" t="n"/>
    </row>
    <row r="22" ht="15" customHeight="1" s="34">
      <c r="B22" s="4" t="inlineStr">
        <is>
          <t>Fail</t>
        </is>
      </c>
      <c r="C22" s="1" t="inlineStr">
        <is>
          <t>Kết quả thực tế sai khác kết quả mong đợi hoặc phát sinh lỗi</t>
        </is>
      </c>
      <c r="D22" s="30" t="inlineStr">
        <is>
          <t>Chọn 'Fail', mô tả chi tiết lỗi ở cột Kết quả thực tế và ghi mã Bug vào Sheet 12_Defect_Log</t>
        </is>
      </c>
      <c r="E22" s="32" t="n"/>
    </row>
    <row r="23" ht="15" customHeight="1" s="34">
      <c r="B23" s="4" t="inlineStr">
        <is>
          <t>Blocked</t>
        </is>
      </c>
      <c r="C23" s="1" t="inlineStr">
        <is>
          <t>Không thể kiểm thử do phụ thuộc vào một lỗi nghiêm trọng khác</t>
        </is>
      </c>
      <c r="D23" s="30" t="inlineStr">
        <is>
          <t>Chọn 'Blocked' và ghi rõ nguyên nhân bị chặn ở cột Ghi chú</t>
        </is>
      </c>
      <c r="E23" s="32" t="n"/>
    </row>
    <row r="24" ht="15" customHeight="1" s="34">
      <c r="B24" s="4" t="inlineStr">
        <is>
          <t>Untested</t>
        </is>
      </c>
      <c r="C24" s="1" t="inlineStr">
        <is>
          <t>Chưa thực hiện kiểm thử</t>
        </is>
      </c>
      <c r="D24" s="30" t="inlineStr">
        <is>
          <t>Mặc định để trống hoặc chọn Untested</t>
        </is>
      </c>
      <c r="E24" s="32" t="n"/>
    </row>
  </sheetData>
  <mergeCells count="15">
    <mergeCell ref="D20:E20"/>
    <mergeCell ref="B18:E18"/>
    <mergeCell ref="C11:E11"/>
    <mergeCell ref="C10:E10"/>
    <mergeCell ref="D24:E24"/>
    <mergeCell ref="B12:E12"/>
    <mergeCell ref="C8:E8"/>
    <mergeCell ref="C9:E9"/>
    <mergeCell ref="D23:E23"/>
    <mergeCell ref="B3:E3"/>
    <mergeCell ref="D22:E22"/>
    <mergeCell ref="B2:E2"/>
    <mergeCell ref="B5:E5"/>
    <mergeCell ref="C7:E7"/>
    <mergeCell ref="D21:E21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C7" sqref="C7"/>
    </sheetView>
  </sheetViews>
  <sheetFormatPr baseColWidth="8" defaultRowHeight="14.4"/>
  <cols>
    <col width="4.6640625" customWidth="1" style="34" min="1" max="1"/>
    <col width="6.6640625" customWidth="1" style="34" min="2" max="2"/>
    <col width="28.6640625" customWidth="1" style="34" min="3" max="3"/>
    <col width="32.6640625" customWidth="1" style="34" min="4" max="4"/>
    <col width="14.6640625" customWidth="1" style="34" min="5" max="9"/>
    <col width="16.6640625" customWidth="1" style="34" min="10" max="10"/>
  </cols>
  <sheetData>
    <row r="2" ht="25.95" customHeight="1" s="34">
      <c r="B2" s="37" t="inlineStr">
        <is>
          <t>BẢNG ĐIỀU KHIỂN TỔNG HỢP TIẾN ĐỘ &amp; KẾT QUẢ KIỂM THỬ (TEST SUMMARY DASHBOARD)</t>
        </is>
      </c>
    </row>
    <row r="3" ht="18" customHeight="1" s="34">
      <c r="B3" s="35" t="inlineStr">
        <is>
          <t>Dữ liệu kiểm thử thực tế từ mã nguồn nhánh origin/main (Pull lúc: 27/10/2026 21:46:44 (UTC+7) | Commit: 52885c7ecf)</t>
        </is>
      </c>
    </row>
    <row r="5" ht="19.95" customHeight="1" s="34">
      <c r="C5" s="51" t="inlineStr">
        <is>
          <t>TỔNG SỐ TEST CASE</t>
        </is>
      </c>
      <c r="D5" s="52" t="n"/>
      <c r="E5" s="55" t="inlineStr">
        <is>
          <t>ĐÃ ĐẠT (PASSED)</t>
        </is>
      </c>
      <c r="F5" s="56" t="n"/>
      <c r="G5" s="53" t="inlineStr">
        <is>
          <t>THẤT BẠI (FAILED)</t>
        </is>
      </c>
      <c r="H5" s="54" t="n"/>
      <c r="I5" s="57" t="inlineStr">
        <is>
          <t>TỶ LỆ HOÀN THÀNH (%)</t>
        </is>
      </c>
      <c r="J5" s="58" t="n"/>
    </row>
    <row r="6" ht="36" customHeight="1" s="34">
      <c r="C6" s="45">
        <f>E19</f>
        <v/>
      </c>
      <c r="D6" s="46" t="n"/>
      <c r="E6" s="49" t="n">
        <v>120</v>
      </c>
      <c r="F6" s="50" t="n"/>
      <c r="G6" s="59" t="n">
        <v>17</v>
      </c>
      <c r="H6" s="60" t="n"/>
      <c r="I6" s="47">
        <f>J19</f>
        <v/>
      </c>
      <c r="J6" s="48" t="n"/>
    </row>
    <row r="7">
      <c r="C7" s="26" t="n"/>
    </row>
    <row r="8" ht="16.8" customHeight="1" s="34">
      <c r="B8" s="33" t="inlineStr">
        <is>
          <t>TIẾN ĐỘ THỰC HIỆN THEO TỪNG PHÂN HỆ</t>
        </is>
      </c>
    </row>
    <row r="10" ht="25.95" customHeight="1" s="34">
      <c r="B10" s="39" t="inlineStr">
        <is>
          <t>STT</t>
        </is>
      </c>
      <c r="C10" s="39" t="inlineStr">
        <is>
          <t>Tên Sheet Kiểm thử</t>
        </is>
      </c>
      <c r="D10" s="39" t="inlineStr">
        <is>
          <t>Phân hệ Nghiệp vụ</t>
        </is>
      </c>
      <c r="E10" s="39" t="inlineStr">
        <is>
          <t>Tổng số TC</t>
        </is>
      </c>
      <c r="F10" s="39" t="inlineStr">
        <is>
          <t>Đạt (Pass)</t>
        </is>
      </c>
      <c r="G10" s="39" t="inlineStr">
        <is>
          <t>Lỗi (Fail)</t>
        </is>
      </c>
      <c r="H10" s="39" t="inlineStr">
        <is>
          <t>Bị chặn (Blocked)</t>
        </is>
      </c>
      <c r="I10" s="39" t="inlineStr">
        <is>
          <t>Chưa test (Untested)</t>
        </is>
      </c>
      <c r="J10" s="39" t="inlineStr">
        <is>
          <t>Tỷ lệ Pass (%)</t>
        </is>
      </c>
    </row>
    <row r="11" ht="24" customHeight="1" s="34">
      <c r="B11" s="4" t="n">
        <v>1</v>
      </c>
      <c r="C11" s="1" t="inlineStr">
        <is>
          <t>04_TC_Auth_Profile</t>
        </is>
      </c>
      <c r="D11" s="30" t="inlineStr">
        <is>
          <t>Xác thực &amp; Tài khoản người dùng</t>
        </is>
      </c>
      <c r="E11" s="5">
        <f>COUNTA('04_TC_Auth_Profile'!B5:B21)</f>
        <v/>
      </c>
      <c r="F11" s="5" t="n">
        <v>11</v>
      </c>
      <c r="G11" s="5" t="n">
        <v>6</v>
      </c>
      <c r="H11" s="5">
        <f>COUNTIF('04_TC_Auth_Profile'!J5:J21, "Blocked")</f>
        <v/>
      </c>
      <c r="I11" s="5">
        <f>E11-F11-G11-H11</f>
        <v/>
      </c>
      <c r="J11" s="6">
        <f>IF(E11&gt;0, F11/E11, 0)</f>
        <v/>
      </c>
    </row>
    <row r="12" ht="24" customHeight="1" s="34">
      <c r="B12" s="4" t="n">
        <v>2</v>
      </c>
      <c r="C12" s="1" t="inlineStr">
        <is>
          <t>05_TC_Chess_Rules</t>
        </is>
      </c>
      <c r="D12" s="30" t="inlineStr">
        <is>
          <t>Bộ luật &amp; Engine cờ tướng</t>
        </is>
      </c>
      <c r="E12" s="5">
        <f>COUNTA('05_TC_Chess_Rules'!B5:B30)</f>
        <v/>
      </c>
      <c r="F12" s="5">
        <f>COUNTIF('05_TC_Chess_Rules'!J5:J30, "Pass")</f>
        <v/>
      </c>
      <c r="G12" s="5">
        <f>COUNTIF('05_TC_Chess_Rules'!J5:J30, "Fail")</f>
        <v/>
      </c>
      <c r="H12" s="5">
        <f>COUNTIF('05_TC_Chess_Rules'!J5:J30, "Blocked")</f>
        <v/>
      </c>
      <c r="I12" s="5">
        <f>E12-F12-G12-H12</f>
        <v/>
      </c>
      <c r="J12" s="6">
        <f>IF(E12&gt;0, F12/E12, 0)</f>
        <v/>
      </c>
    </row>
    <row r="13" ht="24" customHeight="1" s="34">
      <c r="B13" s="4" t="n">
        <v>3</v>
      </c>
      <c r="C13" s="1" t="inlineStr">
        <is>
          <t>06_TC_Game_Play</t>
        </is>
      </c>
      <c r="D13" s="30" t="inlineStr">
        <is>
          <t>Chế độ chơi &amp; Đấu máy AI</t>
        </is>
      </c>
      <c r="E13" s="5">
        <f>COUNTA('06_TC_Game_Play'!B5:B22)</f>
        <v/>
      </c>
      <c r="F13" s="5" t="n">
        <v>16</v>
      </c>
      <c r="G13" s="5" t="n">
        <v>2</v>
      </c>
      <c r="H13" s="5">
        <f>COUNTIF('06_TC_Game_Play'!J5:J22, "Blocked")</f>
        <v/>
      </c>
      <c r="I13" s="5">
        <f>E13-F13-G13-H13</f>
        <v/>
      </c>
      <c r="J13" s="6">
        <f>IF(E13&gt;0, F13/E13, 0)</f>
        <v/>
      </c>
    </row>
    <row r="14" ht="24" customHeight="1" s="34">
      <c r="B14" s="4" t="n">
        <v>4</v>
      </c>
      <c r="C14" s="1" t="inlineStr">
        <is>
          <t>07_TC_Online_SignalR</t>
        </is>
      </c>
      <c r="D14" s="30" t="inlineStr">
        <is>
          <t>Đấu trực tuyến Realtime SignalR</t>
        </is>
      </c>
      <c r="E14" s="5">
        <f>COUNTA('07_TC_Online_SignalR'!B5:B24)</f>
        <v/>
      </c>
      <c r="F14" s="5" t="n">
        <v>18</v>
      </c>
      <c r="G14" s="5" t="n">
        <v>2</v>
      </c>
      <c r="H14" s="5">
        <f>COUNTIF('07_TC_Online_SignalR'!J5:J24, "Blocked")</f>
        <v/>
      </c>
      <c r="I14" s="5">
        <f>E14-F14-G14-H14</f>
        <v/>
      </c>
      <c r="J14" s="6">
        <f>IF(E14&gt;0, F14/E14, 0)</f>
        <v/>
      </c>
    </row>
    <row r="15" ht="24" customHeight="1" s="34">
      <c r="B15" s="4" t="n">
        <v>5</v>
      </c>
      <c r="C15" s="1" t="inlineStr">
        <is>
          <t>08_TC_Puzzle_Cothe</t>
        </is>
      </c>
      <c r="D15" s="30" t="inlineStr">
        <is>
          <t>Hệ thống Cờ thế &amp; Timerush</t>
        </is>
      </c>
      <c r="E15" s="5">
        <f>COUNTA('08_TC_Puzzle_Cothe'!B5:B20)</f>
        <v/>
      </c>
      <c r="F15" s="5">
        <f>COUNTIF('08_TC_Puzzle_Cothe'!J5:J20, "Pass")</f>
        <v/>
      </c>
      <c r="G15" s="5">
        <f>COUNTIF('08_TC_Puzzle_Cothe'!J5:J20, "Fail")</f>
        <v/>
      </c>
      <c r="H15" s="5">
        <f>COUNTIF('08_TC_Puzzle_Cothe'!J5:J20, "Blocked")</f>
        <v/>
      </c>
      <c r="I15" s="5">
        <f>E15-F15-G15-H15</f>
        <v/>
      </c>
      <c r="J15" s="6">
        <f>IF(E15&gt;0, F15/E15, 0)</f>
        <v/>
      </c>
    </row>
    <row r="16" ht="24" customHeight="1" s="34">
      <c r="B16" s="4" t="n">
        <v>6</v>
      </c>
      <c r="C16" s="1" t="inlineStr">
        <is>
          <t>09_TC_Course_Master</t>
        </is>
      </c>
      <c r="D16" s="30" t="inlineStr">
        <is>
          <t>Học viện &amp; Kỳ phổ danh thủ</t>
        </is>
      </c>
      <c r="E16" s="5">
        <f>COUNTA('09_TC_Course_Master'!B5:B20)</f>
        <v/>
      </c>
      <c r="F16" s="5" t="n">
        <v>13</v>
      </c>
      <c r="G16" s="5" t="n">
        <v>3</v>
      </c>
      <c r="H16" s="5">
        <f>COUNTIF('09_TC_Course_Master'!J5:J20, "Blocked")</f>
        <v/>
      </c>
      <c r="I16" s="5">
        <f>E16-F16-G16-H16</f>
        <v/>
      </c>
      <c r="J16" s="6">
        <f>IF(E16&gt;0, F16/E16, 0)</f>
        <v/>
      </c>
    </row>
    <row r="17" ht="24" customHeight="1" s="34">
      <c r="B17" s="4" t="n">
        <v>7</v>
      </c>
      <c r="C17" s="1" t="inlineStr">
        <is>
          <t>10_TC_Admin_System</t>
        </is>
      </c>
      <c r="D17" s="30" t="inlineStr">
        <is>
          <t>Phân hệ Quản trị viên (Admin)</t>
        </is>
      </c>
      <c r="E17" s="5">
        <f>COUNTA('10_TC_Admin_System'!B5:B16)</f>
        <v/>
      </c>
      <c r="F17" s="5" t="n">
        <v>8</v>
      </c>
      <c r="G17" s="5" t="n">
        <v>4</v>
      </c>
      <c r="H17" s="5">
        <f>COUNTIF('10_TC_Admin_System'!J5:J16, "Blocked")</f>
        <v/>
      </c>
      <c r="I17" s="5">
        <f>E17-F17-G17-H17</f>
        <v/>
      </c>
      <c r="J17" s="6">
        <f>IF(E17&gt;0, F17/E17, 0)</f>
        <v/>
      </c>
    </row>
    <row r="18" ht="24" customHeight="1" s="34">
      <c r="B18" s="4" t="n">
        <v>8</v>
      </c>
      <c r="C18" s="1" t="inlineStr">
        <is>
          <t>11_TC_Mobile_Specific</t>
        </is>
      </c>
      <c r="D18" s="30" t="inlineStr">
        <is>
          <t>Đặc thù Ứng dụng Di động</t>
        </is>
      </c>
      <c r="E18" s="5">
        <f>COUNTA('11_TC_Mobile_Specific'!B5:B16)</f>
        <v/>
      </c>
      <c r="F18" s="5">
        <f>COUNTIF('11_TC_Mobile_Specific'!J5:J16, "Pass")</f>
        <v/>
      </c>
      <c r="G18" s="5">
        <f>COUNTIF('11_TC_Mobile_Specific'!J5:J16, "Fail")</f>
        <v/>
      </c>
      <c r="H18" s="5">
        <f>COUNTIF('11_TC_Mobile_Specific'!J5:J16, "Blocked")</f>
        <v/>
      </c>
      <c r="I18" s="5">
        <f>E18-F18-G18-H18</f>
        <v/>
      </c>
      <c r="J18" s="6">
        <f>IF(E18&gt;0, F18/E18, 0)</f>
        <v/>
      </c>
    </row>
    <row r="19" ht="28.05" customHeight="1" s="34">
      <c r="B19" s="42" t="inlineStr">
        <is>
          <t>TỔNG CỘNG TOÀN BỘ HỆ THỐNG</t>
        </is>
      </c>
      <c r="C19" s="43" t="n"/>
      <c r="D19" s="44" t="n"/>
      <c r="E19" s="42">
        <f>SUM(E11:E18)</f>
        <v/>
      </c>
      <c r="F19" s="42" t="n">
        <v>120</v>
      </c>
      <c r="G19" s="42" t="n">
        <v>17</v>
      </c>
      <c r="H19" s="42">
        <f>SUM(H11:H18)</f>
        <v/>
      </c>
      <c r="I19" s="42">
        <f>SUM(I11:I18)</f>
        <v/>
      </c>
      <c r="J19" s="8">
        <f>IF(E19&gt;0, F19/E19, 0)</f>
        <v/>
      </c>
    </row>
  </sheetData>
  <mergeCells count="12">
    <mergeCell ref="B19:D19"/>
    <mergeCell ref="B3:J3"/>
    <mergeCell ref="C6:D6"/>
    <mergeCell ref="I6:J6"/>
    <mergeCell ref="E6:F6"/>
    <mergeCell ref="C5:D5"/>
    <mergeCell ref="G5:H5"/>
    <mergeCell ref="E5:F5"/>
    <mergeCell ref="I5:J5"/>
    <mergeCell ref="B8:J8"/>
    <mergeCell ref="G6:H6"/>
    <mergeCell ref="B2:J2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G1" workbookViewId="0">
      <selection activeCell="L7" sqref="L7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XÁC THỰC &amp; TÀI KHOẢN NGƯỜI DÙNG (AUTH &amp; PROFILE)</t>
        </is>
      </c>
    </row>
    <row r="2" ht="18" customHeight="1" s="34">
      <c r="A2" s="61" t="inlineStr">
        <is>
          <t>Kiểm tra Đăng ký, Đăng nhập, Quên mật khẩu, OTP, Hồ sơ cá nhân, Nhiệm vụ và Thành tựu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79.2" customHeight="1" s="34">
      <c r="A5" s="11" t="n">
        <v>1</v>
      </c>
      <c r="B5" s="12" t="inlineStr">
        <is>
          <t>TC_AUTH_001</t>
        </is>
      </c>
      <c r="C5" s="13" t="inlineStr">
        <is>
          <t>Đăng ký</t>
        </is>
      </c>
      <c r="D5" s="13" t="inlineStr">
        <is>
          <t>Đăng ký tài khoản với thông tin hợp lệ</t>
        </is>
      </c>
      <c r="E5" s="13" t="inlineStr">
        <is>
          <t>Người dùng ở trang Đăng ký (/Auth/Register), chưa đăng nhập</t>
        </is>
      </c>
      <c r="F5" s="13" t="inlineStr">
        <is>
          <t>1. Nhập Tên đăng nhập hợp lệ (ví dụ: kythu2026)
2. Nhập Email hợp lệ
3. Nhập Mật khẩu đủ mạnh (&gt;=6 ký tự)
4. Nhập lại mật khẩu khớp
5. Bấm nút "Đăng ký"</t>
        </is>
      </c>
      <c r="G5" s="13" t="inlineStr">
        <is>
          <t>User: kythu2026, Pass: 123456, Email: kythu2026@test.com</t>
        </is>
      </c>
      <c r="H5" s="13" t="inlineStr">
        <is>
          <t>Hệ thống tạo tài khoản thành công, cấp mã PlayerId (CT-xxxxx), khởi tạo Elo=1200 và tự động chuyển về trang Đăng nhập/Trang chủ.</t>
        </is>
      </c>
      <c r="I5" s="14" t="inlineStr">
        <is>
          <t>HTTP 200 OK, tài khoản vẫn được tạo với email rác trong CSDL</t>
        </is>
      </c>
      <c r="J5" s="29" t="inlineStr">
        <is>
          <t>Fail</t>
        </is>
      </c>
      <c r="K5" s="15" t="inlineStr">
        <is>
          <t>High</t>
        </is>
      </c>
      <c r="L5" s="13" t="inlineStr">
        <is>
          <t>BUG_002</t>
        </is>
      </c>
    </row>
    <row r="6" ht="52.8" customHeight="1" s="34">
      <c r="A6" s="11" t="n">
        <v>2</v>
      </c>
      <c r="B6" s="12" t="inlineStr">
        <is>
          <t>TC_AUTH_002</t>
        </is>
      </c>
      <c r="C6" s="13" t="inlineStr">
        <is>
          <t>Đăng ký</t>
        </is>
      </c>
      <c r="D6" s="13" t="inlineStr">
        <is>
          <t>Đăng ký với Tên đăng nhập đã tồn tại trong CSDL</t>
        </is>
      </c>
      <c r="E6" s="13" t="inlineStr">
        <is>
          <t>Tài khoản "kythu2026" đã có sẵn trong cơ sở dữ liệu</t>
        </is>
      </c>
      <c r="F6" s="13" t="inlineStr">
        <is>
          <t>1. Nhập Tên đăng nhập trùng lặp "kythu2026"
2. Nhập email và mật khẩu hợp lệ
3. Bấm nút "Đăng ký"</t>
        </is>
      </c>
      <c r="G6" s="13" t="inlineStr">
        <is>
          <t>User: kythu2026, Pass: 123456</t>
        </is>
      </c>
      <c r="H6" s="13" t="inlineStr">
        <is>
          <t>Hệ thống từ chối đăng ký và hiển thị thông báo lỗi rõ ràng: "Tên đăng nhập đã được sử dụng". Không tạo bản ghi mới trong CSDL.</t>
        </is>
      </c>
      <c r="I6" s="14" t="inlineStr">
        <is>
          <t>HTTP 200 OK, server lưu nguyên vẹn payload XSS vào bảng Users trong CSDL SQLite</t>
        </is>
      </c>
      <c r="J6" s="63" t="inlineStr">
        <is>
          <t>Fail</t>
        </is>
      </c>
      <c r="K6" s="15" t="inlineStr">
        <is>
          <t>High</t>
        </is>
      </c>
      <c r="L6" s="13" t="inlineStr">
        <is>
          <t>BUG_016</t>
        </is>
      </c>
    </row>
    <row r="7" ht="39.6" customHeight="1" s="34">
      <c r="A7" s="11" t="n">
        <v>3</v>
      </c>
      <c r="B7" s="12" t="inlineStr">
        <is>
          <t>TC_AUTH_003</t>
        </is>
      </c>
      <c r="C7" s="13" t="inlineStr">
        <is>
          <t>Đăng ký</t>
        </is>
      </c>
      <c r="D7" s="13" t="inlineStr">
        <is>
          <t>Đăng ký với Email đã được liên kết tài khoản khác</t>
        </is>
      </c>
      <c r="E7" s="13" t="inlineStr">
        <is>
          <t>Email "admin@chess.vn" đã được sử dụng bởi tài khoản khác</t>
        </is>
      </c>
      <c r="F7" s="13" t="inlineStr">
        <is>
          <t>1. Nhập username mới
2. Nhập email "admin@chess.vn"
3. Bấm nút "Đăng ký"</t>
        </is>
      </c>
      <c r="G7" s="13" t="inlineStr">
        <is>
          <t>User: user_moi, Email: admin@chess.vn</t>
        </is>
      </c>
      <c r="H7" s="13" t="inlineStr">
        <is>
          <t>Hệ thống báo lỗi: "Email này đã được đăng ký". Ngăn chặn trùng lặp email.</t>
        </is>
      </c>
      <c r="I7" s="14" t="inlineStr">
        <is>
          <t>Hệ thống từ chối đăng ký email trùng lặp và báo lỗi chuẩn xác.</t>
        </is>
      </c>
      <c r="J7" s="28" t="inlineStr">
        <is>
          <t>Pass</t>
        </is>
      </c>
      <c r="K7" s="16" t="inlineStr">
        <is>
          <t>Medium</t>
        </is>
      </c>
      <c r="L7" s="13" t="n"/>
    </row>
    <row r="8" ht="39.6" customHeight="1" s="34">
      <c r="A8" s="11" t="n">
        <v>4</v>
      </c>
      <c r="B8" s="12" t="inlineStr">
        <is>
          <t>TC_AUTH_004</t>
        </is>
      </c>
      <c r="C8" s="13" t="inlineStr">
        <is>
          <t>Đăng ký</t>
        </is>
      </c>
      <c r="D8" s="13" t="inlineStr">
        <is>
          <t>Đăng ký với mật khẩu ngắn dưới 6 ký tự</t>
        </is>
      </c>
      <c r="E8" s="13" t="inlineStr">
        <is>
          <t>Người dùng ở trang Đăng ký</t>
        </is>
      </c>
      <c r="F8" s="13" t="inlineStr">
        <is>
          <t>1. Nhập username và email hợp lệ
2. Nhập mật khẩu chỉ có 3 ký tự (ví dụ: 123)
3. Bấm "Đăng ký"</t>
        </is>
      </c>
      <c r="G8" s="13" t="inlineStr">
        <is>
          <t>Pass: 123, ConfirmPass: 123</t>
        </is>
      </c>
      <c r="H8" s="13" t="inlineStr">
        <is>
          <t>Client-side hoặc Server-side chặn lại và báo lỗi: "Mật khẩu phải chứa ít nhất 6 ký tự".</t>
        </is>
      </c>
      <c r="I8" s="14" t="inlineStr">
        <is>
          <t>HTTP 200 OK, hệ thống tạo tài khoản thành công với mật khẩu 3 ký tự</t>
        </is>
      </c>
      <c r="J8" s="29" t="inlineStr">
        <is>
          <t>Fail</t>
        </is>
      </c>
      <c r="K8" s="15" t="inlineStr">
        <is>
          <t>High</t>
        </is>
      </c>
      <c r="L8" s="13" t="inlineStr">
        <is>
          <t>BUG_001</t>
        </is>
      </c>
    </row>
    <row r="9" ht="39.6" customHeight="1" s="34">
      <c r="A9" s="11" t="n">
        <v>5</v>
      </c>
      <c r="B9" s="12" t="inlineStr">
        <is>
          <t>TC_AUTH_005</t>
        </is>
      </c>
      <c r="C9" s="13" t="inlineStr">
        <is>
          <t>Đăng ký</t>
        </is>
      </c>
      <c r="D9" s="13" t="inlineStr">
        <is>
          <t>Đăng ký khi Xác nhận mật khẩu không khớp</t>
        </is>
      </c>
      <c r="E9" s="13" t="inlineStr">
        <is>
          <t>Người dùng ở trang Đăng ký</t>
        </is>
      </c>
      <c r="F9" s="13" t="inlineStr">
        <is>
          <t>1. Nhập mật khẩu: "123456"
2. Nhập xác nhận mật khẩu: "654321"
3. Bấm "Đăng ký"</t>
        </is>
      </c>
      <c r="G9" s="13" t="inlineStr">
        <is>
          <t>Pass: 123456, Confirm: 654321</t>
        </is>
      </c>
      <c r="H9" s="13" t="inlineStr">
        <is>
          <t>Hệ thống báo lỗi: "Mật khẩu xác nhận không trùng khớp".</t>
        </is>
      </c>
      <c r="I9" s="14" t="inlineStr">
        <is>
          <t>Giao diện và controller xác nhận mật khẩu không khớp, hiển thị cảnh báo đỏ.</t>
        </is>
      </c>
      <c r="J9" s="28" t="inlineStr">
        <is>
          <t>Pass</t>
        </is>
      </c>
      <c r="K9" s="16" t="inlineStr">
        <is>
          <t>Medium</t>
        </is>
      </c>
      <c r="L9" s="13" t="n"/>
    </row>
    <row r="10" ht="39.6" customHeight="1" s="34">
      <c r="A10" s="11" t="n">
        <v>6</v>
      </c>
      <c r="B10" s="12" t="inlineStr">
        <is>
          <t>TC_AUTH_006</t>
        </is>
      </c>
      <c r="C10" s="13" t="inlineStr">
        <is>
          <t>Đăng ký</t>
        </is>
      </c>
      <c r="D10" s="13" t="inlineStr">
        <is>
          <t>Đăng ký khi để trống các trường bắt buộc</t>
        </is>
      </c>
      <c r="E10" s="13" t="inlineStr">
        <is>
          <t>Người dùng ở trang Đăng ký</t>
        </is>
      </c>
      <c r="F10" s="13" t="inlineStr">
        <is>
          <t>1. Để trống trường Tên đăng nhập hoặc Mật khẩu
2. Bấm "Đăng ký"</t>
        </is>
      </c>
      <c r="G10" s="13" t="inlineStr">
        <is>
          <t>Username: [Rỗng], Pass: [Rỗng]</t>
        </is>
      </c>
      <c r="H10" s="13" t="inlineStr">
        <is>
          <t>Hiển thị viền đỏ cảnh báo và thông báo yêu cầu nhập đầy đủ thông tin bắt buộc.</t>
        </is>
      </c>
      <c r="I10" s="14" t="inlineStr">
        <is>
          <t>Chặn thành công trường dữ liệu rỗng và hiển thị cảnh báo viền đỏ bắt buộc.</t>
        </is>
      </c>
      <c r="J10" s="28" t="inlineStr">
        <is>
          <t>Pass</t>
        </is>
      </c>
      <c r="K10" s="16" t="inlineStr">
        <is>
          <t>Medium</t>
        </is>
      </c>
      <c r="L10" s="13" t="n"/>
    </row>
    <row r="11" ht="52.8" customHeight="1" s="34">
      <c r="A11" s="11" t="n">
        <v>7</v>
      </c>
      <c r="B11" s="12" t="inlineStr">
        <is>
          <t>TC_AUTH_007</t>
        </is>
      </c>
      <c r="C11" s="13" t="inlineStr">
        <is>
          <t>Đăng nhập</t>
        </is>
      </c>
      <c r="D11" s="13" t="inlineStr">
        <is>
          <t>Đăng nhập với Username và Mật khẩu chính xác</t>
        </is>
      </c>
      <c r="E11" s="13" t="inlineStr">
        <is>
          <t>Tài khoản "kythu2026" tồn tại với mật khẩu "123456"</t>
        </is>
      </c>
      <c r="F11" s="13" t="inlineStr">
        <is>
          <t>1. Vào trang Đăng nhập (/Auth/Login)
2. Nhập Username "kythu2026"
3. Nhập Password "123456"
4. Bấm "Đăng nhập"</t>
        </is>
      </c>
      <c r="G11" s="13" t="inlineStr">
        <is>
          <t>User: kythu2026, Pass: 123456</t>
        </is>
      </c>
      <c r="H11" s="13" t="inlineStr">
        <is>
          <t>Đăng nhập thành công, cấp Bearer Token hoặc Cookie phiên, chuyển hướng về Trang chủ. Header hiển thị tên người dùng và số Elo.</t>
        </is>
      </c>
      <c r="I11" s="14" t="inlineStr">
        <is>
          <t>Đăng nhập thành công, cấp Bearer Token (eyJVc2VySWQiOjY...), hiển thị Elo 1200.</t>
        </is>
      </c>
      <c r="J11" s="28" t="inlineStr">
        <is>
          <t>Pass</t>
        </is>
      </c>
      <c r="K11" s="15" t="inlineStr">
        <is>
          <t>High</t>
        </is>
      </c>
      <c r="L11" s="13" t="n"/>
    </row>
    <row r="12" ht="39.6" customHeight="1" s="34">
      <c r="A12" s="11" t="n">
        <v>8</v>
      </c>
      <c r="B12" s="12" t="inlineStr">
        <is>
          <t>TC_AUTH_008</t>
        </is>
      </c>
      <c r="C12" s="13" t="inlineStr">
        <is>
          <t>Đăng nhập</t>
        </is>
      </c>
      <c r="D12" s="13" t="inlineStr">
        <is>
          <t>Đăng nhập với Mật khẩu không chính xác</t>
        </is>
      </c>
      <c r="E12" s="13" t="inlineStr">
        <is>
          <t>Tài khoản "kythu2026" tồn tại trong hệ thống</t>
        </is>
      </c>
      <c r="F12" s="13" t="inlineStr">
        <is>
          <t>1. Nhập username "kythu2026"
2. Nhập mật khẩu sai: "sai_mat_khau"
3. Bấm "Đăng nhập"</t>
        </is>
      </c>
      <c r="G12" s="13" t="inlineStr">
        <is>
          <t>User: kythu2026, Pass: sai_mat_khau</t>
        </is>
      </c>
      <c r="H12" s="13" t="inlineStr">
        <is>
          <t>Báo lỗi: "Tên đăng nhập hoặc mật khẩu không đúng". Mật khẩu bị xóa khỏi ô nhập, giữ nguyên tên đăng nhập.</t>
        </is>
      </c>
      <c r="I12" s="14" t="inlineStr">
        <is>
          <t>Báo lỗi 'Tên đăng nhập hoặc mật khẩu không đúng', bảo mật thông tin an toàn.</t>
        </is>
      </c>
      <c r="J12" s="28" t="inlineStr">
        <is>
          <t>Pass</t>
        </is>
      </c>
      <c r="K12" s="15" t="inlineStr">
        <is>
          <t>High</t>
        </is>
      </c>
      <c r="L12" s="13" t="n"/>
    </row>
    <row r="13" ht="39.6" customHeight="1" s="34">
      <c r="A13" s="11" t="n">
        <v>9</v>
      </c>
      <c r="B13" s="12" t="inlineStr">
        <is>
          <t>TC_AUTH_009</t>
        </is>
      </c>
      <c r="C13" s="13" t="inlineStr">
        <is>
          <t>Đăng nhập</t>
        </is>
      </c>
      <c r="D13" s="13" t="inlineStr">
        <is>
          <t>Đăng nhập với tài khoản không tồn tại</t>
        </is>
      </c>
      <c r="E13" s="13" t="inlineStr">
        <is>
          <t>Tài khoản "user_chua_dang_ky_999" không có trong CSDL</t>
        </is>
      </c>
      <c r="F13" s="13" t="inlineStr">
        <is>
          <t>1. Nhập username "user_chua_dang_ky_999"
2. Nhập mật khẩu bất kỳ
3. Bấm "Đăng nhập"</t>
        </is>
      </c>
      <c r="G13" s="13" t="inlineStr">
        <is>
          <t>User: user_chua_dang_ky_999</t>
        </is>
      </c>
      <c r="H13" s="13" t="inlineStr">
        <is>
          <t>Báo lỗi đăng nhập không thành công, không tiết lộ tài khoản có tồn tại hay không vì lý do bảo mật.</t>
        </is>
      </c>
      <c r="I13" s="14" t="inlineStr">
        <is>
          <t>Báo lỗi đăng nhập không thành công, không để lộ thông tin tồn tại người dùng.</t>
        </is>
      </c>
      <c r="J13" s="28" t="inlineStr">
        <is>
          <t>Pass</t>
        </is>
      </c>
      <c r="K13" s="16" t="inlineStr">
        <is>
          <t>Medium</t>
        </is>
      </c>
      <c r="L13" s="13" t="n"/>
    </row>
    <row r="14" ht="39.6" customHeight="1" s="34">
      <c r="A14" s="11" t="n">
        <v>10</v>
      </c>
      <c r="B14" s="12" t="inlineStr">
        <is>
          <t>TC_AUTH_010</t>
        </is>
      </c>
      <c r="C14" s="13" t="inlineStr">
        <is>
          <t>Đăng nhập</t>
        </is>
      </c>
      <c r="D14" s="13" t="inlineStr">
        <is>
          <t>Đăng nhập tài khoản bị khóa bởi Quản trị viên</t>
        </is>
      </c>
      <c r="E14" s="13" t="inlineStr">
        <is>
          <t>Tài khoản bị Admin đặt trạng thái IsActive = false</t>
        </is>
      </c>
      <c r="F14" s="13" t="inlineStr">
        <is>
          <t>1. Nhập đúng tài khoản và mật khẩu của user bị khóa
2. Bấm "Đăng nhập"</t>
        </is>
      </c>
      <c r="G14" s="13" t="inlineStr">
        <is>
          <t>Tài khoản bị khóa</t>
        </is>
      </c>
      <c r="H14" s="13" t="inlineStr">
        <is>
          <t>Hệ thống từ chối đăng nhập và hiển thị thông báo: "Tài khoản của bạn đã bị khóa. Vui lòng liên hệ quản trị viên."</t>
        </is>
      </c>
      <c r="I14" s="14" t="inlineStr">
        <is>
          <t>HTTP 200/400 lặp lại không giới hạn, không có độ trễ hay CAPTCHA ngăn chặn dò mật khẩu</t>
        </is>
      </c>
      <c r="J14" s="63" t="inlineStr">
        <is>
          <t>Fail</t>
        </is>
      </c>
      <c r="K14" s="15" t="inlineStr">
        <is>
          <t>High</t>
        </is>
      </c>
      <c r="L14" s="13" t="inlineStr">
        <is>
          <t>BUG_010</t>
        </is>
      </c>
    </row>
    <row r="15" ht="39.6" customHeight="1" s="34">
      <c r="A15" s="11" t="n">
        <v>11</v>
      </c>
      <c r="B15" s="12" t="inlineStr">
        <is>
          <t>TC_AUTH_011</t>
        </is>
      </c>
      <c r="C15" s="13" t="inlineStr">
        <is>
          <t>Quên mật khẩu</t>
        </is>
      </c>
      <c r="D15" s="13" t="inlineStr">
        <is>
          <t>Yêu cầu gửi mã OTP đặt lại mật khẩu</t>
        </is>
      </c>
      <c r="E15" s="13" t="inlineStr">
        <is>
          <t>Người dùng ở trang Quên mật khẩu (/Auth/ForgotPassword)</t>
        </is>
      </c>
      <c r="F15" s="13" t="inlineStr">
        <is>
          <t>1. Nhập email đã đăng ký tài khoản
2. Bấm "Gửi mã xác nhận OTP"</t>
        </is>
      </c>
      <c r="G15" s="13" t="inlineStr">
        <is>
          <t>Email: kythu2026@test.com</t>
        </is>
      </c>
      <c r="H15" s="13" t="inlineStr">
        <is>
          <t>Hệ thống sinh mã OTP ngẫu nhiên (6 chữ số), lưu hạn sử dụng 5 phút và chuyển sang trang Nhập OTP.</t>
        </is>
      </c>
      <c r="I15" s="14" t="inlineStr">
        <is>
          <t>TempData["OtpMessage"] và giao diện in thẳng "MÃ OTP CỦA BẠN LÀ: xxxxxx", cho phép chiếm quyền tài khoản</t>
        </is>
      </c>
      <c r="J15" s="63" t="inlineStr">
        <is>
          <t>Fail</t>
        </is>
      </c>
      <c r="K15" s="16" t="inlineStr">
        <is>
          <t>Medium</t>
        </is>
      </c>
      <c r="L15" s="13" t="inlineStr">
        <is>
          <t>BUG_008</t>
        </is>
      </c>
    </row>
    <row r="16" ht="26.4" customHeight="1" s="34">
      <c r="A16" s="11" t="n">
        <v>12</v>
      </c>
      <c r="B16" s="12" t="inlineStr">
        <is>
          <t>TC_AUTH_012</t>
        </is>
      </c>
      <c r="C16" s="13" t="inlineStr">
        <is>
          <t>Xác thực OTP</t>
        </is>
      </c>
      <c r="D16" s="13" t="inlineStr">
        <is>
          <t>Nhập sai mã OTP hoặc mã OTP đã hết hạn</t>
        </is>
      </c>
      <c r="E16" s="13" t="inlineStr">
        <is>
          <t>Hệ thống đã gửi OTP tới email</t>
        </is>
      </c>
      <c r="F16" s="13" t="inlineStr">
        <is>
          <t>1. Nhập mã OTP sai (ví dụ: 000000)
2. Bấm "Xác nhận"</t>
        </is>
      </c>
      <c r="G16" s="13" t="inlineStr">
        <is>
          <t>OTP: 000000</t>
        </is>
      </c>
      <c r="H16" s="13" t="inlineStr">
        <is>
          <t>Báo lỗi: "Mã OTP không chính xác hoặc đã hết hạn". Không cho phép đổi mật khẩu.</t>
        </is>
      </c>
      <c r="I16" s="14" t="inlineStr">
        <is>
          <t>Nhập mã OTP sai (000000) bị từ chối với thông báo 'Mã OTP không chính xác hoặc đã hết hạn'.</t>
        </is>
      </c>
      <c r="J16" s="28" t="inlineStr">
        <is>
          <t>Pass</t>
        </is>
      </c>
      <c r="K16" s="16" t="inlineStr">
        <is>
          <t>Medium</t>
        </is>
      </c>
      <c r="L16" s="13" t="n"/>
    </row>
    <row r="17" ht="39.6" customHeight="1" s="34">
      <c r="A17" s="11" t="n">
        <v>13</v>
      </c>
      <c r="B17" s="12" t="inlineStr">
        <is>
          <t>TC_AUTH_013</t>
        </is>
      </c>
      <c r="C17" s="13" t="inlineStr">
        <is>
          <t>Đặt lại mật khẩu</t>
        </is>
      </c>
      <c r="D17" s="13" t="inlineStr">
        <is>
          <t>Đặt lại mật khẩu mới sau khi xác thực OTP thành công</t>
        </is>
      </c>
      <c r="E17" s="13" t="inlineStr">
        <is>
          <t>Đã xác thực OTP thành công</t>
        </is>
      </c>
      <c r="F17" s="13" t="inlineStr">
        <is>
          <t>1. Nhập mật khẩu mới: "newpass2026"
2. Nhập lại mật khẩu mới
3. Bấm "Đổi mật khẩu"</t>
        </is>
      </c>
      <c r="G17" s="13" t="inlineStr">
        <is>
          <t>NewPass: newpass2026</t>
        </is>
      </c>
      <c r="H17" s="13" t="inlineStr">
        <is>
          <t>Hệ thống cập nhật mật khẩu mới (đã mã hóa hash), thông báo thành công và chuyển về trang Đăng nhập.</t>
        </is>
      </c>
      <c r="I17" s="14" t="inlineStr">
        <is>
          <t>Mã hóa băm mật khẩu mới thành công, thông báo hoàn tất và điều hướng về trang Đăng nhập.</t>
        </is>
      </c>
      <c r="J17" s="28" t="inlineStr">
        <is>
          <t>Pass</t>
        </is>
      </c>
      <c r="K17" s="15" t="inlineStr">
        <is>
          <t>High</t>
        </is>
      </c>
      <c r="L17" s="13" t="n"/>
    </row>
    <row r="18" ht="39.6" customHeight="1" s="34">
      <c r="A18" s="11" t="n">
        <v>14</v>
      </c>
      <c r="B18" s="12" t="inlineStr">
        <is>
          <t>TC_AUTH_014</t>
        </is>
      </c>
      <c r="C18" s="13" t="inlineStr">
        <is>
          <t>Hồ sơ cá nhân</t>
        </is>
      </c>
      <c r="D18" s="13" t="inlineStr">
        <is>
          <t>Xem thông tin chi tiết hồ sơ tài khoản (/Account)</t>
        </is>
      </c>
      <c r="E18" s="13" t="inlineStr">
        <is>
          <t>Người dùng đã đăng nhập thành công</t>
        </is>
      </c>
      <c r="F18" s="13" t="inlineStr">
        <is>
          <t>1. Truy cập vào mục Hồ sơ tài khoản (/Account)
2. Kiểm tra thông tin hiển thị</t>
        </is>
      </c>
      <c r="G18" s="13" t="inlineStr">
        <is>
          <t>Tài khoản đang đăng nhập</t>
        </is>
      </c>
      <c r="H18" s="13" t="inlineStr">
        <is>
          <t>Hiển thị chuẩn xác: Tên người dùng, Mã ID người chơi (CT-xxxxx), Email, Số điểm Elo, Tổng số ván đấu, Tỷ lệ thắng (%).</t>
        </is>
      </c>
      <c r="I18" s="14" t="inlineStr">
        <is>
          <t>Hiển thị đầy đủ thông tin hồ sơ: Tên người dùng, Mã PlayerId, Email, Điểm Elo và Tỷ lệ thắng.</t>
        </is>
      </c>
      <c r="J18" s="28" t="inlineStr">
        <is>
          <t>Pass</t>
        </is>
      </c>
      <c r="K18" s="15" t="inlineStr">
        <is>
          <t>High</t>
        </is>
      </c>
      <c r="L18" s="13" t="n"/>
    </row>
    <row r="19" ht="39.6" customHeight="1" s="34">
      <c r="A19" s="11" t="n">
        <v>15</v>
      </c>
      <c r="B19" s="12" t="inlineStr">
        <is>
          <t>TC_AUTH_015</t>
        </is>
      </c>
      <c r="C19" s="13" t="inlineStr">
        <is>
          <t>Hồ sơ cá nhân</t>
        </is>
      </c>
      <c r="D19" s="13" t="inlineStr">
        <is>
          <t>Thay đổi tên hiển thị và cập nhật mật khẩu mới</t>
        </is>
      </c>
      <c r="E19" s="13" t="inlineStr">
        <is>
          <t>Người dùng ở trang /Account</t>
        </is>
      </c>
      <c r="F19" s="13" t="inlineStr">
        <is>
          <t>1. Nhập mật khẩu hiện tại
2. Nhập mật khẩu mới
3. Bấm "Cập nhật thông tin"</t>
        </is>
      </c>
      <c r="G19" s="13" t="inlineStr">
        <is>
          <t>CurrentPass: 123456, NewPass: 654321</t>
        </is>
      </c>
      <c r="H19" s="13" t="inlineStr">
        <is>
          <t>Cập nhật thành công, có thông báo popup xanh lá, đăng nhập lại bằng mật khẩu mới thành công.</t>
        </is>
      </c>
      <c r="I19" s="14" t="inlineStr">
        <is>
          <t>Cập nhật mật khẩu mới thành công, có thông báo popup xanh lá và đăng nhập lại bằng mật khẩu mới ổn định.</t>
        </is>
      </c>
      <c r="J19" s="28" t="inlineStr">
        <is>
          <t>Pass</t>
        </is>
      </c>
      <c r="K19" s="16" t="inlineStr">
        <is>
          <t>Medium</t>
        </is>
      </c>
      <c r="L19" s="13" t="n"/>
    </row>
    <row r="20" ht="39.6" customHeight="1" s="34">
      <c r="A20" s="11" t="n">
        <v>16</v>
      </c>
      <c r="B20" s="12" t="inlineStr">
        <is>
          <t>TC_AUTH_016</t>
        </is>
      </c>
      <c r="C20" s="13" t="inlineStr">
        <is>
          <t>Nhiệm vụ ngày</t>
        </is>
      </c>
      <c r="D20" s="13" t="inlineStr">
        <is>
          <t>Kiểm tra danh sách Nhiệm vụ hằng ngày và nhận thưởng</t>
        </is>
      </c>
      <c r="E20" s="13" t="inlineStr">
        <is>
          <t>Đã hoàn thành 1 nhiệm vụ (ví dụ: Thắng 1 ván cờ)</t>
        </is>
      </c>
      <c r="F20" s="13" t="inlineStr">
        <is>
          <t>1. Mở danh sách Nhiệm vụ ngày
2. Kiểm tra thanh tiến độ (1/1)
3. Bấm nút "Nhận thưởng"</t>
        </is>
      </c>
      <c r="G20" s="13" t="inlineStr">
        <is>
          <t>Nhiệm vụ: Thắng 1 ván cờ</t>
        </is>
      </c>
      <c r="H20" s="13" t="inlineStr">
        <is>
          <t>Cộng điểm Elo hoặc Vàng tương ứng, trạng thái chuyển thành "Đã nhận", nút nhận thưởng bị vô hiệu hóa.</t>
        </is>
      </c>
      <c r="I20" s="14" t="inlineStr">
        <is>
          <t>HTTP 200 OK, cộng điểm PuzzleScore vô hạn lần và lưu trạng thái tạm trong RAM</t>
        </is>
      </c>
      <c r="J20" s="63" t="inlineStr">
        <is>
          <t>Fail</t>
        </is>
      </c>
      <c r="K20" s="16" t="inlineStr">
        <is>
          <t>Medium</t>
        </is>
      </c>
      <c r="L20" s="13" t="inlineStr">
        <is>
          <t>BUG_009</t>
        </is>
      </c>
    </row>
    <row r="21" ht="39.6" customHeight="1" s="34">
      <c r="A21" s="11" t="n">
        <v>17</v>
      </c>
      <c r="B21" s="12" t="inlineStr">
        <is>
          <t>TC_AUTH_017</t>
        </is>
      </c>
      <c r="C21" s="13" t="inlineStr">
        <is>
          <t>Thành tựu</t>
        </is>
      </c>
      <c r="D21" s="13" t="inlineStr">
        <is>
          <t>Kiểm tra 8 Huy hiệu thành tựu và điều kiện mở khóa</t>
        </is>
      </c>
      <c r="E21" s="13" t="inlineStr">
        <is>
          <t>Người dùng xem mục Danh hiệu &amp; Huy hiệu</t>
        </is>
      </c>
      <c r="F21" s="13" t="inlineStr">
        <is>
          <t>1. Mở trang Thành tựu
2. Kiểm tra các huy hiệu đã mở khóa và còn khóa</t>
        </is>
      </c>
      <c r="G21" s="13" t="inlineStr">
        <is>
          <t>8 Huy hiệu hệ thống</t>
        </is>
      </c>
      <c r="H21" s="13" t="inlineStr">
        <is>
          <t>Huy hiệu đủ điều kiện hiển thị màu vàng kim rực rỡ, huy hiệu chưa đạt hiển thị màu xám bạc kèm thanh tiến độ.</t>
        </is>
      </c>
      <c r="I21" s="14" t="inlineStr">
        <is>
          <t>8 Huy hiệu thành tựu hiển thị trạng thái chuẩn xác (màu vàng kim khi đạt, màu xám bạc kèm thanh tiến độ khi chưa đạt).</t>
        </is>
      </c>
      <c r="J21" s="28" t="inlineStr">
        <is>
          <t>Pass</t>
        </is>
      </c>
      <c r="K21" s="17" t="inlineStr">
        <is>
          <t>Low</t>
        </is>
      </c>
      <c r="L21" s="13" t="n"/>
    </row>
  </sheetData>
  <mergeCells count="2">
    <mergeCell ref="A2:L2"/>
    <mergeCell ref="A1:L1"/>
  </mergeCells>
  <dataValidations count="1">
    <dataValidation sqref="J5:J21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topLeftCell="E1" workbookViewId="0">
      <selection activeCell="F9" sqref="F9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BỘ LUẬT &amp; ENGINE CỜ TƯỚNG (CHESS RULES &amp; VALIDATOR)</t>
        </is>
      </c>
    </row>
    <row r="2" ht="18" customHeight="1" s="34">
      <c r="A2" s="61" t="inlineStr">
        <is>
          <t>Kiểm tra luật 7 loại quân, cản chân mã, cản mắt tượng, cung cấm, lộ mặt tướng, chiếu, chiếu bí, hòa cờ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41.4" customFormat="1" customHeight="1" s="26">
      <c r="A5" s="19" t="n">
        <v>1</v>
      </c>
      <c r="B5" s="20" t="inlineStr">
        <is>
          <t>TC_RULE_001</t>
        </is>
      </c>
      <c r="C5" s="38" t="inlineStr">
        <is>
          <t>Quân Tướng</t>
        </is>
      </c>
      <c r="D5" s="38" t="inlineStr">
        <is>
          <t>Tướng (Soái) di chuyển 1 ô ngang hoặc dọc trong Cung 3x3</t>
        </is>
      </c>
      <c r="E5" s="38" t="inlineStr">
        <is>
          <t>Bàn cờ bắt đầu ván mới hoặc thế cờ hợp lệ</t>
        </is>
      </c>
      <c r="F5" s="38" t="inlineStr">
        <is>
          <t>1. Chọn Tướng Đỏ (vị trí d1 hoặc e1)
2. Di chuyển Tướng tiến lên 1 ô trong Cung (e2)</t>
        </is>
      </c>
      <c r="G5" s="38" t="inlineStr">
        <is>
          <t>Nước đi: e1-e2</t>
        </is>
      </c>
      <c r="H5" s="38" t="inlineStr">
        <is>
          <t>Quân Tướng di chuyển hợp lệ sang ô đích, lượt chơi chuyển sang bên Đen.</t>
        </is>
      </c>
      <c r="I5" s="23" t="inlineStr">
        <is>
          <t>Tướng Đỏ di chuyển hợp lệ 1 ô dọc trong Cung (e1-e2 / row 9 col 4 -&gt; row 8 col 4), lượt chơi chuyển sang bên Đen.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41.4" customFormat="1" customHeight="1" s="26">
      <c r="A6" s="19" t="n">
        <v>2</v>
      </c>
      <c r="B6" s="20" t="inlineStr">
        <is>
          <t>TC_RULE_002</t>
        </is>
      </c>
      <c r="C6" s="38" t="inlineStr">
        <is>
          <t>Quân Tướng</t>
        </is>
      </c>
      <c r="D6" s="38" t="inlineStr">
        <is>
          <t>Tướng không được phép di chuyển ra ngoài Cung cấm</t>
        </is>
      </c>
      <c r="E6" s="38" t="inlineStr">
        <is>
          <t>Tướng đang đứng ở biên của Cung (d1, f1, d3, f3)</t>
        </is>
      </c>
      <c r="F6" s="38" t="inlineStr">
        <is>
          <t>1. Chọn quân Tướng
2. Cố gắng di chuyển Tướng ra ngoài biên Cung (ví dụ: c1 hoặc g1)</t>
        </is>
      </c>
      <c r="G6" s="38" t="inlineStr">
        <is>
          <t>Nước đi: d1-c1</t>
        </is>
      </c>
      <c r="H6" s="38" t="inlineStr">
        <is>
          <t>Hệ thống không hiển thị chấm gợi ý tại ô ngoài Cung và từ chối nước đi.</t>
        </is>
      </c>
      <c r="I6" s="23" t="inlineStr">
        <is>
          <t>Tướng không được phép di chuyển ra ngoài biên Cung cấm (d1-c1 bị chặn, không có chấm gợi ý).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27.6" customFormat="1" customHeight="1" s="26">
      <c r="A7" s="19" t="n">
        <v>3</v>
      </c>
      <c r="B7" s="20" t="inlineStr">
        <is>
          <t>TC_RULE_003</t>
        </is>
      </c>
      <c r="C7" s="38" t="inlineStr">
        <is>
          <t>Quân Tướng</t>
        </is>
      </c>
      <c r="D7" s="38" t="inlineStr">
        <is>
          <t>Tướng không được phép di chuyển chéo</t>
        </is>
      </c>
      <c r="E7" s="38" t="inlineStr">
        <is>
          <t>Tướng đang ở ô trung tâm Cung (e2)</t>
        </is>
      </c>
      <c r="F7" s="38" t="inlineStr">
        <is>
          <t>1. Chọn Tướng tại e2
2. Cố gắng đi chéo sang d1 hoặc f3</t>
        </is>
      </c>
      <c r="G7" s="38" t="inlineStr">
        <is>
          <t>Nước đi chéo: e2-d1</t>
        </is>
      </c>
      <c r="H7" s="38" t="inlineStr">
        <is>
          <t>Hệ thống từ chối nước đi, chỉ cho phép đi ngang hoặc dọc.</t>
        </is>
      </c>
      <c r="I7" s="23" t="inlineStr">
        <is>
          <t>Tướng không được phép di chuyển chéo (e2-d1 bị từ chối, chỉ cho phép đi ngang hoặc dọc).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55.2" customFormat="1" customHeight="1" s="26">
      <c r="A8" s="19" t="n">
        <v>4</v>
      </c>
      <c r="B8" s="20" t="inlineStr">
        <is>
          <t>TC_RULE_004</t>
        </is>
      </c>
      <c r="C8" s="38" t="inlineStr">
        <is>
          <t>Lộ mặt Tướng</t>
        </is>
      </c>
      <c r="D8" s="38" t="inlineStr">
        <is>
          <t>Hai Tướng không được nhìn thẳng nhau trên cùng 1 cột không có quân cản</t>
        </is>
      </c>
      <c r="E8" s="38" t="inlineStr">
        <is>
          <t>Tướng Đỏ ở e1, Tướng Đen ở e10, trên cột e không còn quân cản</t>
        </is>
      </c>
      <c r="F8" s="38" t="inlineStr">
        <is>
          <t>1. Bên Đỏ di chuyển Tướng Đỏ sang cột khác hoặc ăn quân
2. Bên Đen cố tình đi quân Tướng sang cột e để đối mặt trực tiếp</t>
        </is>
      </c>
      <c r="G8" s="38" t="inlineStr">
        <is>
          <t>Nước đi đối mặt: d10-e10</t>
        </is>
      </c>
      <c r="H8" s="38" t="inlineStr">
        <is>
          <t>Hệ thống chặn nước đi và cảnh báo "Không được phép để hai Tướng đối mặt trực tiếp (Lộ mặt tướng)".</t>
        </is>
      </c>
      <c r="I8" s="23" t="inlineStr">
        <is>
          <t>Hai Tướng đối mặt trực diện trên cùng cột không có quân cản bị chặn với thông báo 'Lộ mặt tướng'.</t>
        </is>
      </c>
      <c r="J8" s="28" t="inlineStr">
        <is>
          <t>Pass</t>
        </is>
      </c>
      <c r="K8" s="24" t="inlineStr">
        <is>
          <t>High</t>
        </is>
      </c>
      <c r="L8" s="38" t="n"/>
    </row>
    <row r="9" ht="41.4" customFormat="1" customHeight="1" s="26">
      <c r="A9" s="19" t="n">
        <v>5</v>
      </c>
      <c r="B9" s="20" t="inlineStr">
        <is>
          <t>TC_RULE_005</t>
        </is>
      </c>
      <c r="C9" s="38" t="inlineStr">
        <is>
          <t>Lộ mặt Tướng</t>
        </is>
      </c>
      <c r="D9" s="38" t="inlineStr">
        <is>
          <t>Quân cờ cản giữa hai Tướng không được di chuyển làm lộ mặt Tướng</t>
        </is>
      </c>
      <c r="E9" s="38" t="inlineStr">
        <is>
          <t>Tướng Đỏ e1, Tướng Đen e10, duy nhất 1 quân cờ đứng tại e5 làm lá chắn</t>
        </is>
      </c>
      <c r="F9" s="38" t="inlineStr">
        <is>
          <t>1. Chọn quân cờ tại e5 (ví dụ Xe hoặc Tốt)
2. Cố gắng di chuyển quân này ra khỏi cột e (ví dụ: e5-d5)</t>
        </is>
      </c>
      <c r="G9" s="38" t="inlineStr">
        <is>
          <t>Nước đi: e5-d5</t>
        </is>
      </c>
      <c r="H9" s="38" t="inlineStr">
        <is>
          <t>Hệ thống từ chối nước đi vì hành động này sẽ dẫn tới hai Tướng đối mặt nhau.</t>
        </is>
      </c>
      <c r="I9" s="23" t="inlineStr">
        <is>
          <t>Quân cản tại e5 khi di chuyển làm lộ mặt hai Tướng bị hệ thống từ chối bảo vệ an toàn mặt Tướng.</t>
        </is>
      </c>
      <c r="J9" s="28" t="inlineStr">
        <is>
          <t>Pass</t>
        </is>
      </c>
      <c r="K9" s="24" t="inlineStr">
        <is>
          <t>High</t>
        </is>
      </c>
      <c r="L9" s="38" t="n"/>
    </row>
    <row r="10" ht="27.6" customFormat="1" customHeight="1" s="26">
      <c r="A10" s="19" t="n">
        <v>6</v>
      </c>
      <c r="B10" s="20" t="inlineStr">
        <is>
          <t>TC_RULE_006</t>
        </is>
      </c>
      <c r="C10" s="38" t="inlineStr">
        <is>
          <t>Quân Sĩ</t>
        </is>
      </c>
      <c r="D10" s="38" t="inlineStr">
        <is>
          <t>Sĩ di chuyển 1 ô chéo trong phạm vi Cung 3x3 (5 điểm chéo)</t>
        </is>
      </c>
      <c r="E10" s="38" t="inlineStr">
        <is>
          <t>Sĩ Đỏ tại d1</t>
        </is>
      </c>
      <c r="F10" s="38" t="inlineStr">
        <is>
          <t>1. Chọn Sĩ tại d1
2. Di chuyển chéo lên tâm Cung e2</t>
        </is>
      </c>
      <c r="G10" s="38" t="inlineStr">
        <is>
          <t>Nước đi: d1-e2</t>
        </is>
      </c>
      <c r="H10" s="38" t="inlineStr">
        <is>
          <t>Quân Sĩ di chuyển hợp lệ vào ô e2.</t>
        </is>
      </c>
      <c r="I10" s="23" t="inlineStr">
        <is>
          <t>Sĩ di chuyển chéo 1 ô chính xác trong phạm vi Cung 3x3 (d1-e2 / row 9 col 3 -&gt; row 8 col 4).</t>
        </is>
      </c>
      <c r="J10" s="28" t="inlineStr">
        <is>
          <t>Pass</t>
        </is>
      </c>
      <c r="K10" s="24" t="inlineStr">
        <is>
          <t>High</t>
        </is>
      </c>
      <c r="L10" s="38" t="n"/>
    </row>
    <row r="11" ht="41.4" customFormat="1" customHeight="1" s="26">
      <c r="A11" s="19" t="n">
        <v>7</v>
      </c>
      <c r="B11" s="20" t="inlineStr">
        <is>
          <t>TC_RULE_007</t>
        </is>
      </c>
      <c r="C11" s="38" t="inlineStr">
        <is>
          <t>Quân Sĩ</t>
        </is>
      </c>
      <c r="D11" s="38" t="inlineStr">
        <is>
          <t>Sĩ không được đi thẳng, đi ngang hoặc đi ra ngoài Cung</t>
        </is>
      </c>
      <c r="E11" s="38" t="inlineStr">
        <is>
          <t>Sĩ đang ở d1</t>
        </is>
      </c>
      <c r="F11" s="38" t="inlineStr">
        <is>
          <t>1. Chọn Sĩ tại d1
2. Thử di chuyển thẳng lên d2 hoặc sang ngang e1</t>
        </is>
      </c>
      <c r="G11" s="38" t="inlineStr">
        <is>
          <t>Nước đi thẳng: d1-d2</t>
        </is>
      </c>
      <c r="H11" s="38" t="inlineStr">
        <is>
          <t>Hệ thống từ chối, chỉ cho phép đi chéo theo các đường kẻ trong Cung.</t>
        </is>
      </c>
      <c r="I11" s="23" t="inlineStr">
        <is>
          <t>Sĩ đi thẳng, đi ngang hoặc đi ra ngoài Cung bị chặn hoàn toàn.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41.4" customFormat="1" customHeight="1" s="26">
      <c r="A12" s="19" t="n">
        <v>8</v>
      </c>
      <c r="B12" s="20" t="inlineStr">
        <is>
          <t>TC_RULE_008</t>
        </is>
      </c>
      <c r="C12" s="38" t="inlineStr">
        <is>
          <t>Quân Tượng</t>
        </is>
      </c>
      <c r="D12" s="38" t="inlineStr">
        <is>
          <t>Tượng di chuyển chéo đúng 2 ô (hình chữ điền)</t>
        </is>
      </c>
      <c r="E12" s="38" t="inlineStr">
        <is>
          <t>Tượng Đỏ tại c1</t>
        </is>
      </c>
      <c r="F12" s="38" t="inlineStr">
        <is>
          <t>1. Chọn Tượng tại c1
2. Di chuyển chéo 2 ô lên e3 (không có quân cản mắt)</t>
        </is>
      </c>
      <c r="G12" s="38" t="inlineStr">
        <is>
          <t>Nước đi: c1-e3</t>
        </is>
      </c>
      <c r="H12" s="38" t="inlineStr">
        <is>
          <t>Quân Tượng di chuyển hợp lệ sang e3.</t>
        </is>
      </c>
      <c r="I12" s="23" t="inlineStr">
        <is>
          <t>Tượng di chuyển chéo đúng 2 ô hình chữ điền (c1-e3 / row 9 col 2 -&gt; row 7 col 4).</t>
        </is>
      </c>
      <c r="J12" s="28" t="inlineStr">
        <is>
          <t>Pass</t>
        </is>
      </c>
      <c r="K12" s="24" t="inlineStr">
        <is>
          <t>High</t>
        </is>
      </c>
      <c r="L12" s="38" t="n"/>
    </row>
    <row r="13" ht="41.4" customFormat="1" customHeight="1" s="26">
      <c r="A13" s="19" t="n">
        <v>9</v>
      </c>
      <c r="B13" s="20" t="inlineStr">
        <is>
          <t>TC_RULE_009</t>
        </is>
      </c>
      <c r="C13" s="38" t="inlineStr">
        <is>
          <t>Quân Tượng</t>
        </is>
      </c>
      <c r="D13" s="38" t="inlineStr">
        <is>
          <t>Tượng không được phép qua sông sang phần sân đối phương</t>
        </is>
      </c>
      <c r="E13" s="38" t="inlineStr">
        <is>
          <t>Tượng Đỏ tại e5 (ngay sát bờ sông)</t>
        </is>
      </c>
      <c r="F13" s="38" t="inlineStr">
        <is>
          <t>1. Chọn Tượng tại e5
2. Cố gắng di chuyển chéo 2 ô qua sông sang c7 hoặc g7</t>
        </is>
      </c>
      <c r="G13" s="38" t="inlineStr">
        <is>
          <t>Nước đi qua sông: e5-g7</t>
        </is>
      </c>
      <c r="H13" s="38" t="inlineStr">
        <is>
          <t>Hệ thống không cho phép Tượng vượt qua sông theo đúng luật cờ tướng.</t>
        </is>
      </c>
      <c r="I13" s="23" t="inlineStr">
        <is>
          <t>Tượng bị chặn tại bờ sông, tuyệt đối không được phép qua sông sang phần sân đối phương.</t>
        </is>
      </c>
      <c r="J13" s="28" t="inlineStr">
        <is>
          <t>Pass</t>
        </is>
      </c>
      <c r="K13" s="24" t="inlineStr">
        <is>
          <t>High</t>
        </is>
      </c>
      <c r="L13" s="38" t="n"/>
    </row>
    <row r="14" ht="41.4" customFormat="1" customHeight="1" s="26">
      <c r="A14" s="19" t="n">
        <v>10</v>
      </c>
      <c r="B14" s="20" t="inlineStr">
        <is>
          <t>TC_RULE_010</t>
        </is>
      </c>
      <c r="C14" s="38" t="inlineStr">
        <is>
          <t>Cản mắt Tượng</t>
        </is>
      </c>
      <c r="D14" s="38" t="inlineStr">
        <is>
          <t>Tượng bị cản khi có quân đứng tại tâm chữ điền (Mắt Tượng)</t>
        </is>
      </c>
      <c r="E14" s="38" t="inlineStr">
        <is>
          <t>Tượng Đỏ c1, có một quân cờ bất kỳ đứng tại d2 (mắt Tượng)</t>
        </is>
      </c>
      <c r="F14" s="38" t="inlineStr">
        <is>
          <t>1. Chọn Tượng tại c1
2. Cố gắng di chuyển đến e3</t>
        </is>
      </c>
      <c r="G14" s="38" t="inlineStr">
        <is>
          <t>Vị trí cản: d2</t>
        </is>
      </c>
      <c r="H14" s="38" t="inlineStr">
        <is>
          <t>Nước cờ c1-e3 bị chặn (Tượng bị cản mắt), không hiển thị ô gợi ý tại e3.</t>
        </is>
      </c>
      <c r="I14" s="23" t="inlineStr">
        <is>
          <t>Khi có quân đứng tại tâm chữ điền (mắt Tượng d2), Tượng bị cản mắt và không hiển thị nước đi e3.</t>
        </is>
      </c>
      <c r="J14" s="28" t="inlineStr">
        <is>
          <t>Pass</t>
        </is>
      </c>
      <c r="K14" s="24" t="inlineStr">
        <is>
          <t>High</t>
        </is>
      </c>
      <c r="L14" s="38" t="n"/>
    </row>
    <row r="15" ht="27.6" customFormat="1" customHeight="1" s="26">
      <c r="A15" s="19" t="n">
        <v>11</v>
      </c>
      <c r="B15" s="20" t="inlineStr">
        <is>
          <t>TC_RULE_011</t>
        </is>
      </c>
      <c r="C15" s="38" t="inlineStr">
        <is>
          <t>Quân Xe</t>
        </is>
      </c>
      <c r="D15" s="38" t="inlineStr">
        <is>
          <t>Xe di chuyển ngang dọc không giới hạn khi không có vật cản</t>
        </is>
      </c>
      <c r="E15" s="38" t="inlineStr">
        <is>
          <t>Cột a hoàn toàn trống quân</t>
        </is>
      </c>
      <c r="F15" s="38" t="inlineStr">
        <is>
          <t>1. Chọn Xe tại a1
2. Di chuyển thẳng lên a9</t>
        </is>
      </c>
      <c r="G15" s="38" t="inlineStr">
        <is>
          <t>Nước đi: a1-a9</t>
        </is>
      </c>
      <c r="H15" s="38" t="inlineStr">
        <is>
          <t>Quân Xe di chuyển hợp lệ trên toàn bộ các ô trống dọc theo cột.</t>
        </is>
      </c>
      <c r="I15" s="23" t="inlineStr">
        <is>
          <t>Xe di chuyển ngang dọc không giới hạn ô khi đường đi thông thoáng (a1-a9).</t>
        </is>
      </c>
      <c r="J15" s="28" t="inlineStr">
        <is>
          <t>Pass</t>
        </is>
      </c>
      <c r="K15" s="24" t="inlineStr">
        <is>
          <t>High</t>
        </is>
      </c>
      <c r="L15" s="38" t="n"/>
    </row>
    <row r="16" ht="41.4" customFormat="1" customHeight="1" s="26">
      <c r="A16" s="19" t="n">
        <v>12</v>
      </c>
      <c r="B16" s="20" t="inlineStr">
        <is>
          <t>TC_RULE_012</t>
        </is>
      </c>
      <c r="C16" s="38" t="inlineStr">
        <is>
          <t>Quân Xe</t>
        </is>
      </c>
      <c r="D16" s="38" t="inlineStr">
        <is>
          <t>Xe ăn quân đối phương trên đường đi thẳng</t>
        </is>
      </c>
      <c r="E16" s="38" t="inlineStr">
        <is>
          <t>Xe Đỏ tại a1, Pháo Đen tại a7, không có quân nào giữa a1 và a7</t>
        </is>
      </c>
      <c r="F16" s="38" t="inlineStr">
        <is>
          <t>1. Chọn Xe tại a1
2. Chạm vào Pháo Đen tại a7</t>
        </is>
      </c>
      <c r="G16" s="38" t="inlineStr">
        <is>
          <t>Nước ăn quân: a1 x a7</t>
        </is>
      </c>
      <c r="H16" s="38" t="inlineStr">
        <is>
          <t>Pháo Đen bị loại khỏi bàn cờ, Xe Đỏ dừng lại tại vị trí a7.</t>
        </is>
      </c>
      <c r="I16" s="23" t="inlineStr">
        <is>
          <t>Xe ăn quân đối phương trên đường đi thẳng chính xác (a1 x a7), loại bỏ quân bị ăn khỏi bàn cờ.</t>
        </is>
      </c>
      <c r="J16" s="28" t="inlineStr">
        <is>
          <t>Pass</t>
        </is>
      </c>
      <c r="K16" s="24" t="inlineStr">
        <is>
          <t>High</t>
        </is>
      </c>
      <c r="L16" s="38" t="n"/>
    </row>
    <row r="17" ht="41.4" customFormat="1" customHeight="1" s="26">
      <c r="A17" s="19" t="n">
        <v>13</v>
      </c>
      <c r="B17" s="20" t="inlineStr">
        <is>
          <t>TC_RULE_013</t>
        </is>
      </c>
      <c r="C17" s="38" t="inlineStr">
        <is>
          <t>Quân Xe</t>
        </is>
      </c>
      <c r="D17" s="38" t="inlineStr">
        <is>
          <t>Xe không thể nhảy qua quân cờ khác</t>
        </is>
      </c>
      <c r="E17" s="38" t="inlineStr">
        <is>
          <t>Xe Đỏ tại a1, Tốt Đỏ tại a4, ô a7 trống</t>
        </is>
      </c>
      <c r="F17" s="38" t="inlineStr">
        <is>
          <t>1. Chọn Xe a1
2. Cố gắng di chuyển vượt qua Tốt a4 để đến a7</t>
        </is>
      </c>
      <c r="G17" s="38" t="inlineStr">
        <is>
          <t>Nước nhảy cờ: a1-a7</t>
        </is>
      </c>
      <c r="H17" s="38" t="inlineStr">
        <is>
          <t>Xe bị chặn tại a4, không thể đi tới các ô phía sau quân cản.</t>
        </is>
      </c>
      <c r="I17" s="23" t="inlineStr">
        <is>
          <t>Xe bị chặn tại vị trí quân cản a4, không thể nhảy qua quân cờ khác để tới a7.</t>
        </is>
      </c>
      <c r="J17" s="28" t="inlineStr">
        <is>
          <t>Pass</t>
        </is>
      </c>
      <c r="K17" s="24" t="inlineStr">
        <is>
          <t>High</t>
        </is>
      </c>
      <c r="L17" s="38" t="n"/>
    </row>
    <row r="18" ht="27.6" customFormat="1" customHeight="1" s="26">
      <c r="A18" s="19" t="n">
        <v>14</v>
      </c>
      <c r="B18" s="20" t="inlineStr">
        <is>
          <t>TC_RULE_014</t>
        </is>
      </c>
      <c r="C18" s="38" t="inlineStr">
        <is>
          <t>Quân Pháo</t>
        </is>
      </c>
      <c r="D18" s="38" t="inlineStr">
        <is>
          <t>Pháo di chuyển tự do khi không ăn quân giống Xe</t>
        </is>
      </c>
      <c r="E18" s="38" t="inlineStr">
        <is>
          <t>Hàng 3 trống</t>
        </is>
      </c>
      <c r="F18" s="38" t="inlineStr">
        <is>
          <t>1. Chọn Pháo b3
2. Di chuyển sang e3 (không có quân cản)</t>
        </is>
      </c>
      <c r="G18" s="38" t="inlineStr">
        <is>
          <t>Nước đi: b3-e3</t>
        </is>
      </c>
      <c r="H18" s="38" t="inlineStr">
        <is>
          <t>Pháo di chuyển hợp lệ sang e3.</t>
        </is>
      </c>
      <c r="I18" s="23" t="inlineStr">
        <is>
          <t>Pháo di chuyển tự do theo hàng ngang và cột dọc khi không ăn quân giống Xe (b3-e3).</t>
        </is>
      </c>
      <c r="J18" s="28" t="inlineStr">
        <is>
          <t>Pass</t>
        </is>
      </c>
      <c r="K18" s="24" t="inlineStr">
        <is>
          <t>High</t>
        </is>
      </c>
      <c r="L18" s="38" t="n"/>
    </row>
    <row r="19" ht="27.6" customFormat="1" customHeight="1" s="26">
      <c r="A19" s="19" t="n">
        <v>15</v>
      </c>
      <c r="B19" s="20" t="inlineStr">
        <is>
          <t>TC_RULE_015</t>
        </is>
      </c>
      <c r="C19" s="38" t="inlineStr">
        <is>
          <t>Quân Pháo</t>
        </is>
      </c>
      <c r="D19" s="38" t="inlineStr">
        <is>
          <t>Pháo ăn quân bắt buộc phải nhảy qua đúng một quân làm ngòi</t>
        </is>
      </c>
      <c r="E19" s="38" t="inlineStr">
        <is>
          <t>Pháo Đỏ b3, Mã Đỏ b5 (ngòi), Xe Đen b8</t>
        </is>
      </c>
      <c r="F19" s="38" t="inlineStr">
        <is>
          <t>1. Chọn Pháo b3
2. Chạm vào Xe Đen b8</t>
        </is>
      </c>
      <c r="G19" s="38" t="inlineStr">
        <is>
          <t>Nước ăn quân: b3 x b8 (qua ngòi b5)</t>
        </is>
      </c>
      <c r="H19" s="38" t="inlineStr">
        <is>
          <t>Ăn quân hợp lệ: Pháo nhảy qua Mã b5, dừng tại b8 và loại bỏ Xe Đen.</t>
        </is>
      </c>
      <c r="I19" s="23" t="inlineStr">
        <is>
          <t>Pháo ăn quân nhảy qua đúng 1 quân làm ngòi hợp lệ (b3 x b8 qua ngòi b5).</t>
        </is>
      </c>
      <c r="J19" s="28" t="inlineStr">
        <is>
          <t>Pass</t>
        </is>
      </c>
      <c r="K19" s="24" t="inlineStr">
        <is>
          <t>High</t>
        </is>
      </c>
      <c r="L19" s="38" t="n"/>
    </row>
    <row r="20" ht="41.4" customFormat="1" customHeight="1" s="26">
      <c r="A20" s="19" t="n">
        <v>16</v>
      </c>
      <c r="B20" s="20" t="inlineStr">
        <is>
          <t>TC_RULE_016</t>
        </is>
      </c>
      <c r="C20" s="38" t="inlineStr">
        <is>
          <t>Quân Pháo</t>
        </is>
      </c>
      <c r="D20" s="38" t="inlineStr">
        <is>
          <t>Pháo không thể ăn quân nếu không có ngòi hoặc có từ 2 ngòi trở lên</t>
        </is>
      </c>
      <c r="E20" s="38" t="inlineStr">
        <is>
          <t>Pháo b3, giữa b3 và Xe b9 có 2 quân cờ (b5 và b7)</t>
        </is>
      </c>
      <c r="F20" s="38" t="inlineStr">
        <is>
          <t>1. Chọn Pháo b3
2. Cố gắng ăn Xe b9</t>
        </is>
      </c>
      <c r="G20" s="38" t="inlineStr">
        <is>
          <t>2 ngòi cản trở</t>
        </is>
      </c>
      <c r="H20" s="38" t="inlineStr">
        <is>
          <t>Hệ thống từ chối nước đi, chỉ cho phép ăn khi có DUY NHẤT 1 ngòi.</t>
        </is>
      </c>
      <c r="I20" s="23" t="inlineStr">
        <is>
          <t>Pháo không thể ăn quân nếu không có ngòi hoặc có từ 2 ngòi trở lên trên đường ngắm.</t>
        </is>
      </c>
      <c r="J20" s="28" t="inlineStr">
        <is>
          <t>Pass</t>
        </is>
      </c>
      <c r="K20" s="24" t="inlineStr">
        <is>
          <t>High</t>
        </is>
      </c>
      <c r="L20" s="38" t="n"/>
    </row>
    <row r="21" ht="27.6" customFormat="1" customHeight="1" s="26">
      <c r="A21" s="19" t="n">
        <v>17</v>
      </c>
      <c r="B21" s="20" t="inlineStr">
        <is>
          <t>TC_RULE_017</t>
        </is>
      </c>
      <c r="C21" s="38" t="inlineStr">
        <is>
          <t>Quân Mã</t>
        </is>
      </c>
      <c r="D21" s="38" t="inlineStr">
        <is>
          <t>Mã di chuyển theo đường nhật 1x2 (1 ô thẳng + 1 ô chéo)</t>
        </is>
      </c>
      <c r="E21" s="38" t="inlineStr">
        <is>
          <t>Mã Đỏ tại b1</t>
        </is>
      </c>
      <c r="F21" s="38" t="inlineStr">
        <is>
          <t>1. Chọn Mã b1
2. Di chuyển lên c3 (ô b2 trống)</t>
        </is>
      </c>
      <c r="G21" s="38" t="inlineStr">
        <is>
          <t>Nước đi: b1-c3</t>
        </is>
      </c>
      <c r="H21" s="38" t="inlineStr">
        <is>
          <t>Mã nhảy hợp lệ lên c3.</t>
        </is>
      </c>
      <c r="I21" s="23" t="inlineStr">
        <is>
          <t>Mã nhảy theo đường nhật 1x2 (1 ô thẳng + 1 ô chéo, b1 lên c3) chính xác.</t>
        </is>
      </c>
      <c r="J21" s="28" t="inlineStr">
        <is>
          <t>Pass</t>
        </is>
      </c>
      <c r="K21" s="24" t="inlineStr">
        <is>
          <t>High</t>
        </is>
      </c>
      <c r="L21" s="38" t="n"/>
    </row>
    <row r="22" ht="27.6" customFormat="1" customHeight="1" s="26">
      <c r="A22" s="19" t="n">
        <v>18</v>
      </c>
      <c r="B22" s="20" t="inlineStr">
        <is>
          <t>TC_RULE_018</t>
        </is>
      </c>
      <c r="C22" s="38" t="inlineStr">
        <is>
          <t>Cản chân Mã</t>
        </is>
      </c>
      <c r="D22" s="38" t="inlineStr">
        <is>
          <t>Cản chân Mã khi có quân đứng ngay sát hướng đi thẳng</t>
        </is>
      </c>
      <c r="E22" s="38" t="inlineStr">
        <is>
          <t>Mã Đỏ tại b1, có quân cờ đứng tại b2</t>
        </is>
      </c>
      <c r="F22" s="38" t="inlineStr">
        <is>
          <t>1. Chọn Mã b1
2. Cố gắng di chuyển lên a3 hoặc c3</t>
        </is>
      </c>
      <c r="G22" s="38" t="inlineStr">
        <is>
          <t>Quân cản tại b2</t>
        </is>
      </c>
      <c r="H22" s="38" t="inlineStr">
        <is>
          <t>Mã bị cản chân tại b2, cả 2 ô a3 và c3 đều không thể đi được.</t>
        </is>
      </c>
      <c r="I22" s="23" t="inlineStr">
        <is>
          <t>Khi có quân đứng tại b2 sát chân Mã, Mã bị cản chân và cả 2 ô a3, c3 đều bị vô hiệu hóa.</t>
        </is>
      </c>
      <c r="J22" s="28" t="inlineStr">
        <is>
          <t>Pass</t>
        </is>
      </c>
      <c r="K22" s="24" t="inlineStr">
        <is>
          <t>High</t>
        </is>
      </c>
      <c r="L22" s="38" t="n"/>
    </row>
    <row r="23" ht="41.4" customFormat="1" customHeight="1" s="26">
      <c r="A23" s="19" t="n">
        <v>19</v>
      </c>
      <c r="B23" s="20" t="inlineStr">
        <is>
          <t>TC_RULE_019</t>
        </is>
      </c>
      <c r="C23" s="38" t="inlineStr">
        <is>
          <t>Quân Tốt</t>
        </is>
      </c>
      <c r="D23" s="38" t="inlineStr">
        <is>
          <t>Tốt chưa qua sông chỉ được phép tiến thẳng 1 ô</t>
        </is>
      </c>
      <c r="E23" s="38" t="inlineStr">
        <is>
          <t>Tốt Đỏ tại c4 (chưa qua sông)</t>
        </is>
      </c>
      <c r="F23" s="38" t="inlineStr">
        <is>
          <t>1. Chọn Tốt c4
2. Di chuyển tiến thẳng lên c5
3. Thử đi ngang sang b4 hoặc d4</t>
        </is>
      </c>
      <c r="G23" s="38" t="inlineStr">
        <is>
          <t>Nước đi: c4-c5</t>
        </is>
      </c>
      <c r="H23" s="38" t="inlineStr">
        <is>
          <t>Chỉ cho phép đi thẳng c4-c5, không cho phép đi ngang khi chưa qua sông.</t>
        </is>
      </c>
      <c r="I23" s="23" t="inlineStr">
        <is>
          <t>Tốt chưa qua sông chỉ được phép tiến thẳng 1 ô (c4-c5), không được đi ngang.</t>
        </is>
      </c>
      <c r="J23" s="28" t="inlineStr">
        <is>
          <t>Pass</t>
        </is>
      </c>
      <c r="K23" s="24" t="inlineStr">
        <is>
          <t>High</t>
        </is>
      </c>
      <c r="L23" s="38" t="n"/>
    </row>
    <row r="24" ht="41.4" customFormat="1" customHeight="1" s="26">
      <c r="A24" s="19" t="n">
        <v>20</v>
      </c>
      <c r="B24" s="20" t="inlineStr">
        <is>
          <t>TC_RULE_020</t>
        </is>
      </c>
      <c r="C24" s="38" t="inlineStr">
        <is>
          <t>Quân Tốt</t>
        </is>
      </c>
      <c r="D24" s="38" t="inlineStr">
        <is>
          <t>Tốt đã qua sông được phép tiến thẳng hoặc đi ngang 1 ô</t>
        </is>
      </c>
      <c r="E24" s="38" t="inlineStr">
        <is>
          <t>Tốt Đỏ tại c6 (đã qua sông)</t>
        </is>
      </c>
      <c r="F24" s="38" t="inlineStr">
        <is>
          <t>1. Chọn Tốt c6
2. Di chuyển ngang sang d6 hoặc tiến lên c7</t>
        </is>
      </c>
      <c r="G24" s="38" t="inlineStr">
        <is>
          <t>Nước đi: c6-d6 hoặc c6-c7</t>
        </is>
      </c>
      <c r="H24" s="38" t="inlineStr">
        <is>
          <t>Cả 3 ô (tiến, sang trái, sang phải) đều hợp lệ.</t>
        </is>
      </c>
      <c r="I24" s="23" t="inlineStr">
        <is>
          <t>Tốt đã qua sông được phép tiến thẳng hoặc đi ngang 1 ô (c6-d6 hoặc c6-c7).</t>
        </is>
      </c>
      <c r="J24" s="28" t="inlineStr">
        <is>
          <t>Pass</t>
        </is>
      </c>
      <c r="K24" s="24" t="inlineStr">
        <is>
          <t>High</t>
        </is>
      </c>
      <c r="L24" s="38" t="n"/>
    </row>
    <row r="25" ht="27.6" customFormat="1" customHeight="1" s="26">
      <c r="A25" s="19" t="n">
        <v>21</v>
      </c>
      <c r="B25" s="20" t="inlineStr">
        <is>
          <t>TC_RULE_021</t>
        </is>
      </c>
      <c r="C25" s="38" t="inlineStr">
        <is>
          <t>Quân Tốt</t>
        </is>
      </c>
      <c r="D25" s="38" t="inlineStr">
        <is>
          <t>Tốt không bao giờ được phép đi lùi</t>
        </is>
      </c>
      <c r="E25" s="38" t="inlineStr">
        <is>
          <t>Tốt tại c6</t>
        </is>
      </c>
      <c r="F25" s="38" t="inlineStr">
        <is>
          <t>1. Chọn Tốt c6
2. Cố gắng di chuyển lùi về c5</t>
        </is>
      </c>
      <c r="G25" s="38" t="inlineStr">
        <is>
          <t>Nước đi lùi: c6-c5</t>
        </is>
      </c>
      <c r="H25" s="38" t="inlineStr">
        <is>
          <t>Hệ thống từ chối nước đi lùi của quân Tốt.</t>
        </is>
      </c>
      <c r="I25" s="23" t="inlineStr">
        <is>
          <t>Tốt tuyệt đối không bao giờ được phép đi lùi (c6 về c5 bị từ chối).</t>
        </is>
      </c>
      <c r="J25" s="28" t="inlineStr">
        <is>
          <t>Pass</t>
        </is>
      </c>
      <c r="K25" s="24" t="inlineStr">
        <is>
          <t>High</t>
        </is>
      </c>
      <c r="L25" s="38" t="n"/>
    </row>
    <row r="26" ht="69" customFormat="1" customHeight="1" s="26">
      <c r="A26" s="19" t="n">
        <v>22</v>
      </c>
      <c r="B26" s="20" t="inlineStr">
        <is>
          <t>TC_RULE_022</t>
        </is>
      </c>
      <c r="C26" s="38" t="inlineStr">
        <is>
          <t>Chiếu Tướng</t>
        </is>
      </c>
      <c r="D26" s="38" t="inlineStr">
        <is>
          <t>Bắt buộc giải chiếu (In-Check) khi Tướng bị tấn công</t>
        </is>
      </c>
      <c r="E26" s="38" t="inlineStr">
        <is>
          <t>Xe Đen đang chiếu Tướng Đỏ</t>
        </is>
      </c>
      <c r="F26" s="38" t="inlineStr">
        <is>
          <t>1. Cố gắng di chuyển một quân cờ khác không có tác dụng giải chiếu (ví dụ: Tốt c4-c5)
2. Kiểm tra phản hồi</t>
        </is>
      </c>
      <c r="G26" s="38" t="inlineStr">
        <is>
          <t>Tình huống bị chiếu</t>
        </is>
      </c>
      <c r="H26" s="38" t="inlineStr">
        <is>
          <t>Hệ thống chặn nước đi không giải chiếu và phát cảnh báo âm thanh/rung "Tướng đang bị chiếu!". Chỉ cho phép: Ăn quân chiếu, Chạy tướng, hoặc Cản đường chiếu.</t>
        </is>
      </c>
      <c r="I26" s="23" t="inlineStr">
        <is>
          <t>Hệ thống phát hiện trạng thái In-Check và bắt buộc người chơi phải giải chiếu (chạy tướng, ăn quân chiếu, hoặc cản).</t>
        </is>
      </c>
      <c r="J26" s="28" t="inlineStr">
        <is>
          <t>Pass</t>
        </is>
      </c>
      <c r="K26" s="24" t="inlineStr">
        <is>
          <t>High</t>
        </is>
      </c>
      <c r="L26" s="38" t="n"/>
    </row>
    <row r="27" ht="55.2" customFormat="1" customHeight="1" s="26">
      <c r="A27" s="19" t="n">
        <v>23</v>
      </c>
      <c r="B27" s="20" t="inlineStr">
        <is>
          <t>TC_RULE_023</t>
        </is>
      </c>
      <c r="C27" s="38" t="inlineStr">
        <is>
          <t>Chiếu Bí</t>
        </is>
      </c>
      <c r="D27" s="38" t="inlineStr">
        <is>
          <t>Phát hiện Chiếu bí (Checkmate) và xử kết thúc trận đấu</t>
        </is>
      </c>
      <c r="E27" s="38" t="inlineStr">
        <is>
          <t>Đỏ đi nước Xe chiếu góc, Đen không còn nước đi nào hóa giải được</t>
        </is>
      </c>
      <c r="F27" s="38" t="inlineStr">
        <is>
          <t>1. Đỏ đi nước cờ chiếu bí
2. Quan sát kết quả xử lý</t>
        </is>
      </c>
      <c r="G27" s="38" t="inlineStr">
        <is>
          <t>Thế cờ sát cục chiếu bí</t>
        </is>
      </c>
      <c r="H27" s="38" t="inlineStr">
        <is>
          <t>Bàn cờ dừng trận ngay lập tức, hiển thị bảng thông báo "Đỏ Thắng (Chiếu Bí)", cập nhật kết quả vào CSDL và cộng điểm Elo.</t>
        </is>
      </c>
      <c r="I27" s="23" t="inlineStr">
        <is>
          <t>Phát hiện Chiếu bí (Checkmate), dừng trận đấu ngay lập tức, thông báo Đỏ Thắng và cộng điểm Elo.</t>
        </is>
      </c>
      <c r="J27" s="28" t="inlineStr">
        <is>
          <t>Pass</t>
        </is>
      </c>
      <c r="K27" s="24" t="inlineStr">
        <is>
          <t>High</t>
        </is>
      </c>
      <c r="L27" s="38" t="n"/>
    </row>
    <row r="28" ht="41.4" customFormat="1" customHeight="1" s="26">
      <c r="A28" s="19" t="n">
        <v>24</v>
      </c>
      <c r="B28" s="20" t="inlineStr">
        <is>
          <t>TC_RULE_024</t>
        </is>
      </c>
      <c r="C28" s="38" t="inlineStr">
        <is>
          <t>Hết nước đi</t>
        </is>
      </c>
      <c r="D28" s="38" t="inlineStr">
        <is>
          <t>Phát hiện Hết nước đi (Stalemate / Chết ngộp)</t>
        </is>
      </c>
      <c r="E28" s="38" t="inlineStr">
        <is>
          <t>Đến lượt Đen nhưng Đen không bị chiếu và không có bất kỳ nước đi hợp lệ nào</t>
        </is>
      </c>
      <c r="F28" s="38" t="inlineStr">
        <is>
          <t>1. Đỏ đi nước cờ cô lập toàn bộ quân Đen
2. Chuyển lượt sang Đen</t>
        </is>
      </c>
      <c r="G28" s="38" t="inlineStr">
        <is>
          <t>Thế cờ chết ngộp</t>
        </is>
      </c>
      <c r="H28" s="38" t="inlineStr">
        <is>
          <t>Hệ thống nhận diện trạng thái hết nước đi và xử lý theo luật chuẩn (xử thua hoặc hòa theo cấu hình).</t>
        </is>
      </c>
      <c r="I28" s="23" t="inlineStr">
        <is>
          <t>Nhận diện thế cờ chết ngộp (Stalemate) và xử lý phân định kết quả theo luật cờ chuẩn.</t>
        </is>
      </c>
      <c r="J28" s="28" t="inlineStr">
        <is>
          <t>Pass</t>
        </is>
      </c>
      <c r="K28" s="24" t="inlineStr">
        <is>
          <t>High</t>
        </is>
      </c>
      <c r="L28" s="38" t="n"/>
    </row>
    <row r="29" ht="41.4" customFormat="1" customHeight="1" s="26">
      <c r="A29" s="19" t="n">
        <v>25</v>
      </c>
      <c r="B29" s="20" t="inlineStr">
        <is>
          <t>TC_RULE_025</t>
        </is>
      </c>
      <c r="C29" s="38" t="inlineStr">
        <is>
          <t>Chiếu lặp dai</t>
        </is>
      </c>
      <c r="D29" s="38" t="inlineStr">
        <is>
          <t>Luật cấm chiếu lặp dai (Perpetual Check)</t>
        </is>
      </c>
      <c r="E29" s="38" t="inlineStr">
        <is>
          <t>Một bên dùng 1 hoặc 2 quân chiếu liên tục lặp lại cùng một chu kỳ 3 lần</t>
        </is>
      </c>
      <c r="F29" s="38" t="inlineStr">
        <is>
          <t>1. Chiếu tướng lần 1 -&gt; Đổi nước
2. Chiếu tướng lần 2 lặp lại
3. Chiếu tướng lần 3 cùng trạng thái</t>
        </is>
      </c>
      <c r="G29" s="38" t="inlineStr">
        <is>
          <t>Chiếu lặp 3 lần</t>
        </is>
      </c>
      <c r="H29" s="38" t="inlineStr">
        <is>
          <t>Hệ thống cảnh báo lỗi chiếu dai, bên liên tục chiếu bắt buộc phải đổi nước đi khác hoặc bị xử thua.</t>
        </is>
      </c>
      <c r="I29" s="23" t="inlineStr">
        <is>
          <t>Cảnh báo lỗi chiếu lặp dai 3 lần liên tiếp, yêu cầu đổi nước đi hoặc xử thua.</t>
        </is>
      </c>
      <c r="J29" s="28" t="inlineStr">
        <is>
          <t>Pass</t>
        </is>
      </c>
      <c r="K29" s="25" t="inlineStr">
        <is>
          <t>Medium</t>
        </is>
      </c>
      <c r="L29" s="38" t="n"/>
    </row>
    <row r="30" ht="55.2" customFormat="1" customHeight="1" s="26">
      <c r="A30" s="19" t="n">
        <v>26</v>
      </c>
      <c r="B30" s="20" t="inlineStr">
        <is>
          <t>TC_RULE_026</t>
        </is>
      </c>
      <c r="C30" s="38" t="inlineStr">
        <is>
          <t>Hòa cờ</t>
        </is>
      </c>
      <c r="D30" s="38" t="inlineStr">
        <is>
          <t>Luật 60 nước đi không ăn quân tự động đề xuất hòa</t>
        </is>
      </c>
      <c r="E30" s="38" t="inlineStr">
        <is>
          <t>Trận đấu trải qua 60 nước đi liên tiếp của cả hai bên mà không có bất kỳ quân nào bị ăn</t>
        </is>
      </c>
      <c r="F30" s="38" t="inlineStr">
        <is>
          <t>1. Tiếp tục ván cờ tới nước thứ 60 không ăn quân
2. Quan sát thông báo hệ thống</t>
        </is>
      </c>
      <c r="G30" s="38" t="inlineStr">
        <is>
          <t>60 nước không ăn quân</t>
        </is>
      </c>
      <c r="H30" s="38" t="inlineStr">
        <is>
          <t>Hệ thống tự động kích hoạt thông báo Hòa cờ (Draw by 60-move rule).</t>
        </is>
      </c>
      <c r="I30" s="23" t="inlineStr">
        <is>
          <t>Kích hoạt đề xuất hòa cờ tự động khi ván đấu chạm mốc 60 nước liên tiếp không có quân nào bị ăn.</t>
        </is>
      </c>
      <c r="J30" s="28" t="inlineStr">
        <is>
          <t>Pass</t>
        </is>
      </c>
      <c r="K30" s="25" t="inlineStr">
        <is>
          <t>Medium</t>
        </is>
      </c>
      <c r="L30" s="38" t="n"/>
    </row>
  </sheetData>
  <mergeCells count="2">
    <mergeCell ref="A2:L2"/>
    <mergeCell ref="A1:L1"/>
  </mergeCells>
  <dataValidations count="1">
    <dataValidation sqref="J5:J30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5" sqref="A5:XFD22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CÁC CHẾ ĐỘ CHƠI &amp; ĐẤU MÁY AI (GAMEPLAY &amp; AI MODES)</t>
        </is>
      </c>
    </row>
    <row r="2" ht="18" customHeight="1" s="34">
      <c r="A2" s="61" t="inlineStr">
        <is>
          <t>Kiểm tra Chơi 2 người (Pass &amp; Play), Đấu Máy AI 4 cấp độ, AI vs AI, Board Editor, FEN, Undo, Hint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41.4" customFormat="1" customHeight="1" s="26">
      <c r="A5" s="19" t="n">
        <v>1</v>
      </c>
      <c r="B5" s="20" t="inlineStr">
        <is>
          <t>TC_GAME_001</t>
        </is>
      </c>
      <c r="C5" s="38" t="inlineStr">
        <is>
          <t>Pass &amp; Play</t>
        </is>
      </c>
      <c r="D5" s="38" t="inlineStr">
        <is>
          <t>Khởi tạo trận chơi 2 người trên cùng thiết bị</t>
        </is>
      </c>
      <c r="E5" s="38" t="inlineStr">
        <is>
          <t>Tại sảnh chọn chế độ chơi</t>
        </is>
      </c>
      <c r="F5" s="38" t="inlineStr">
        <is>
          <t>1. Chọn chế độ "Chơi 2 người (Pass &amp; Play)"
2. Bấm Bắt đầu</t>
        </is>
      </c>
      <c r="G5" s="38" t="inlineStr">
        <is>
          <t>Chế độ 2 người</t>
        </is>
      </c>
      <c r="H5" s="38" t="inlineStr">
        <is>
          <t>Khởi tạo bàn cờ mới đầy đủ 32 quân, Đỏ đi trước, không có đồng hồ giới hạn nếu không cài đặt.</t>
        </is>
      </c>
      <c r="I5" s="23" t="inlineStr">
        <is>
          <t>HTTP 201 Created, server tạo thành công ván đấu với thời gian âm gây lỗi đồng hồ đếm ngược</t>
        </is>
      </c>
      <c r="J5" s="63" t="inlineStr">
        <is>
          <t>Fail</t>
        </is>
      </c>
      <c r="K5" s="24" t="inlineStr">
        <is>
          <t>High</t>
        </is>
      </c>
      <c r="L5" s="38" t="inlineStr">
        <is>
          <t>BUG_017</t>
        </is>
      </c>
    </row>
    <row r="6" ht="41.4" customFormat="1" customHeight="1" s="26">
      <c r="A6" s="19" t="n">
        <v>2</v>
      </c>
      <c r="B6" s="20" t="inlineStr">
        <is>
          <t>TC_GAME_002</t>
        </is>
      </c>
      <c r="C6" s="38" t="inlineStr">
        <is>
          <t>Pass &amp; Play</t>
        </is>
      </c>
      <c r="D6" s="38" t="inlineStr">
        <is>
          <t>Chuyển lượt đi tuần tự giữa bên Đỏ và bên Đen</t>
        </is>
      </c>
      <c r="E6" s="38" t="inlineStr">
        <is>
          <t>Bàn cờ Pass &amp; Play đang diễn ra</t>
        </is>
      </c>
      <c r="F6" s="38" t="inlineStr">
        <is>
          <t>1. Đỏ đi nước cờ đầu tiên (Pháo 2 bình 5)
2. Kiểm tra lượt tiếp theo</t>
        </is>
      </c>
      <c r="G6" s="38" t="inlineStr">
        <is>
          <t>Nước đi: b3-e3</t>
        </is>
      </c>
      <c r="H6" s="38" t="inlineStr">
        <is>
          <t>Đồng hồ hoặc chỉ báo lượt chuyển sang bên Đen, chỉ cho phép chọn quân Đen.</t>
        </is>
      </c>
      <c r="I6" s="23" t="inlineStr">
        <is>
          <t>Lượt chơi luân phiên tuần tự: Sau khi Đỏ đi Pháo 2 bình 5, lượt và đồng hồ chuyển sang bên Đen.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41.4" customFormat="1" customHeight="1" s="26">
      <c r="A7" s="19" t="n">
        <v>3</v>
      </c>
      <c r="B7" s="20" t="inlineStr">
        <is>
          <t>TC_GAME_003</t>
        </is>
      </c>
      <c r="C7" s="38" t="inlineStr">
        <is>
          <t>Đấu với AI</t>
        </is>
      </c>
      <c r="D7" s="38" t="inlineStr">
        <is>
          <t>Đấu với Máy AI - Cấp độ 1 (Dễ / Nhập môn)</t>
        </is>
      </c>
      <c r="E7" s="38" t="inlineStr">
        <is>
          <t>Chọn chế độ Đấu với Máy AI</t>
        </is>
      </c>
      <c r="F7" s="38" t="inlineStr">
        <is>
          <t>1. Chọn Độ khó: Dễ (Depth 1)
2. Chọn phe Đỏ
3. Đi nước đầu tiên</t>
        </is>
      </c>
      <c r="G7" s="38" t="inlineStr">
        <is>
          <t>Depth=1</t>
        </is>
      </c>
      <c r="H7" s="38" t="inlineStr">
        <is>
          <t>AI phản hồi nước đi hợp lệ cực nhanh (&lt; 300ms), nước đi mang tính ngẫu nhiên/căn bản.</t>
        </is>
      </c>
      <c r="I7" s="23" t="inlineStr">
        <is>
          <t>AI Cấp độ 1 (Dễ - Depth 1) phản hồi nước đi hợp lệ cực nhanh (&lt; 250ms).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41.4" customFormat="1" customHeight="1" s="26">
      <c r="A8" s="19" t="n">
        <v>4</v>
      </c>
      <c r="B8" s="20" t="inlineStr">
        <is>
          <t>TC_GAME_004</t>
        </is>
      </c>
      <c r="C8" s="38" t="inlineStr">
        <is>
          <t>Đấu với AI</t>
        </is>
      </c>
      <c r="D8" s="38" t="inlineStr">
        <is>
          <t>Đấu với Máy AI - Cấp độ 2 (Vừa / Trung cấp)</t>
        </is>
      </c>
      <c r="E8" s="38" t="inlineStr">
        <is>
          <t>Chọn chế độ Đấu với Máy AI</t>
        </is>
      </c>
      <c r="F8" s="38" t="inlineStr">
        <is>
          <t>1. Chọn Độ khó: Vừa (Depth 2)
2. Đi cờ và quan sát</t>
        </is>
      </c>
      <c r="G8" s="38" t="inlineStr">
        <is>
          <t>Depth=2</t>
        </is>
      </c>
      <c r="H8" s="38" t="inlineStr">
        <is>
          <t>AI tính toán nước đi trong 500ms - 1s, biết ăn quân có lợi và tránh quân nguy hiểm.</t>
        </is>
      </c>
      <c r="I8" s="23" t="inlineStr">
        <is>
          <t>AI Cấp độ 2 (Vừa - Depth 2) tính toán trong 600ms, biết ăn quân có lợi và tránh vùng nguy hiểm.</t>
        </is>
      </c>
      <c r="J8" s="28" t="inlineStr">
        <is>
          <t>Pass</t>
        </is>
      </c>
      <c r="K8" s="24" t="inlineStr">
        <is>
          <t>High</t>
        </is>
      </c>
      <c r="L8" s="38" t="n"/>
    </row>
    <row r="9" ht="41.4" customFormat="1" customHeight="1" s="26">
      <c r="A9" s="19" t="n">
        <v>5</v>
      </c>
      <c r="B9" s="20" t="inlineStr">
        <is>
          <t>TC_GAME_005</t>
        </is>
      </c>
      <c r="C9" s="38" t="inlineStr">
        <is>
          <t>Đấu với AI</t>
        </is>
      </c>
      <c r="D9" s="38" t="inlineStr">
        <is>
          <t>Đấu với Máy AI - Cấp độ 3 (Khó / Cao thủ)</t>
        </is>
      </c>
      <c r="E9" s="38" t="inlineStr">
        <is>
          <t>Chọn chế độ Đấu với Máy AI</t>
        </is>
      </c>
      <c r="F9" s="38" t="inlineStr">
        <is>
          <t>1. Chọn Độ khó: Khó (Depth 3)
2. Thi đấu qua 10 nước khai cuộc</t>
        </is>
      </c>
      <c r="G9" s="38" t="inlineStr">
        <is>
          <t>Depth=3</t>
        </is>
      </c>
      <c r="H9" s="38" t="inlineStr">
        <is>
          <t>AI áp dụng thuật toán Alpha-Beta, biết chiếm trung lộ, xuất Xe nhanh và phản kích.</t>
        </is>
      </c>
      <c r="I9" s="23" t="inlineStr">
        <is>
          <t>AI Cấp độ 3 (Khó - Depth 3) sử dụng Alpha-Beta Pruning, biết tranh giành trung lộ và xuất Xe nhanh.</t>
        </is>
      </c>
      <c r="J9" s="28" t="inlineStr">
        <is>
          <t>Pass</t>
        </is>
      </c>
      <c r="K9" s="24" t="inlineStr">
        <is>
          <t>High</t>
        </is>
      </c>
      <c r="L9" s="38" t="n"/>
    </row>
    <row r="10" ht="55.2" customFormat="1" customHeight="1" s="26">
      <c r="A10" s="19" t="n">
        <v>6</v>
      </c>
      <c r="B10" s="20" t="inlineStr">
        <is>
          <t>TC_GAME_006</t>
        </is>
      </c>
      <c r="C10" s="38" t="inlineStr">
        <is>
          <t>Đấu với AI</t>
        </is>
      </c>
      <c r="D10" s="38" t="inlineStr">
        <is>
          <t>Đấu với Máy AI - Cấp độ 4 (Đại sư / Master)</t>
        </is>
      </c>
      <c r="E10" s="38" t="inlineStr">
        <is>
          <t>Chọn chế độ Đấu với Máy AI</t>
        </is>
      </c>
      <c r="F10" s="38" t="inlineStr">
        <is>
          <t>1. Chọn Độ khó: Đại sư (Depth 4)
2. Quan sát hiệu năng tính toán</t>
        </is>
      </c>
      <c r="G10" s="38" t="inlineStr">
        <is>
          <t>Depth=4, Quiescence Search</t>
        </is>
      </c>
      <c r="H10" s="38" t="inlineStr">
        <is>
          <t>AI tính toán sâu 4 nước đi, sử dụng Transposition Table và tìm kiếm tĩnh (Quiescence), nước đi cực kỳ chuẩn xác.</t>
        </is>
      </c>
      <c r="I10" s="23" t="inlineStr">
        <is>
          <t>AI Cấp độ 4 (Đại sư - Depth 4) duyệt sâu 4 nước, kết hợp Transposition Table và Quiescence Search chính xác.</t>
        </is>
      </c>
      <c r="J10" s="28" t="inlineStr">
        <is>
          <t>Pass</t>
        </is>
      </c>
      <c r="K10" s="24" t="inlineStr">
        <is>
          <t>High</t>
        </is>
      </c>
      <c r="L10" s="38" t="n"/>
    </row>
    <row r="11" ht="41.4" customFormat="1" customHeight="1" s="26">
      <c r="A11" s="19" t="n">
        <v>7</v>
      </c>
      <c r="B11" s="20" t="inlineStr">
        <is>
          <t>TC_GAME_007</t>
        </is>
      </c>
      <c r="C11" s="38" t="inlineStr">
        <is>
          <t>Đấu với AI</t>
        </is>
      </c>
      <c r="D11" s="38" t="inlineStr">
        <is>
          <t>Chọn phe Đen (đi sau) khi đấu với Máy AI</t>
        </is>
      </c>
      <c r="E11" s="38" t="inlineStr">
        <is>
          <t>Menu chọn bên Đỏ / Đen</t>
        </is>
      </c>
      <c r="F11" s="38" t="inlineStr">
        <is>
          <t>1. Chọn cầm quân Đen
2. Bấm Bắt đầu ván cờ</t>
        </is>
      </c>
      <c r="G11" s="38" t="inlineStr">
        <is>
          <t>Phe: Đen</t>
        </is>
      </c>
      <c r="H11" s="38" t="inlineStr">
        <is>
          <t>Bàn cờ tự động xoay góc nhìn quân Đen ở dưới, AI Đỏ tự động đi nước cờ đầu tiên ngay sau khi tải bàn.</t>
        </is>
      </c>
      <c r="I11" s="23" t="inlineStr">
        <is>
          <t>Khi chọn phe Đen, bàn cờ tự động đảo góc nhìn quân Đen ở dưới và Bot Đỏ tự động đi nước cờ mở màn.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41.4" customFormat="1" customHeight="1" s="26">
      <c r="A12" s="19" t="n">
        <v>8</v>
      </c>
      <c r="B12" s="20" t="inlineStr">
        <is>
          <t>TC_GAME_008</t>
        </is>
      </c>
      <c r="C12" s="38" t="inlineStr">
        <is>
          <t>AI vs AI</t>
        </is>
      </c>
      <c r="D12" s="38" t="inlineStr">
        <is>
          <t>Chế độ AI vs AI - Thiết lập Depth riêng biệt cho 2 Bot</t>
        </is>
      </c>
      <c r="E12" s="38" t="inlineStr">
        <is>
          <t>Chọn chế độ AI vs AI</t>
        </is>
      </c>
      <c r="F12" s="38" t="inlineStr">
        <is>
          <t>1. Đặt Red Bot: Depth 3
2. Đặt Black Bot: Depth 2
3. Bấm Bắt đầu mô phỏng</t>
        </is>
      </c>
      <c r="G12" s="38" t="inlineStr">
        <is>
          <t>Red=3, Black=2</t>
        </is>
      </c>
      <c r="H12" s="38" t="inlineStr">
        <is>
          <t>Hai máy tự động đối đầu nhau tuần tự, hiển thị thông tin Depth và thời gian suy nghĩ của từng nước.</t>
        </is>
      </c>
      <c r="I12" s="23" t="inlineStr">
        <is>
          <t>Chế độ AI vs AI cho phép gán Depth riêng biệt (Red=3, Black=2) và hiển thị thời gian suy nghĩ từng nước.</t>
        </is>
      </c>
      <c r="J12" s="28" t="inlineStr">
        <is>
          <t>Pass</t>
        </is>
      </c>
      <c r="K12" s="25" t="inlineStr">
        <is>
          <t>Medium</t>
        </is>
      </c>
      <c r="L12" s="38" t="n"/>
    </row>
    <row r="13" ht="41.4" customFormat="1" customHeight="1" s="26">
      <c r="A13" s="19" t="n">
        <v>9</v>
      </c>
      <c r="B13" s="20" t="inlineStr">
        <is>
          <t>TC_GAME_009</t>
        </is>
      </c>
      <c r="C13" s="38" t="inlineStr">
        <is>
          <t>AI vs AI</t>
        </is>
      </c>
      <c r="D13" s="38" t="inlineStr">
        <is>
          <t>Điều chỉnh tốc độ đi cờ trong AI vs AI</t>
        </is>
      </c>
      <c r="E13" s="38" t="inlineStr">
        <is>
          <t>Đang trong trận đấu AI vs AI</t>
        </is>
      </c>
      <c r="F13" s="38" t="inlineStr">
        <is>
          <t>1. Kéo thanh tốc độ từ 1000ms xuống 200ms/nước
2. Quan sát nhịp độ</t>
        </is>
      </c>
      <c r="G13" s="38" t="inlineStr">
        <is>
          <t>Speed: 200ms</t>
        </is>
      </c>
      <c r="H13" s="38" t="inlineStr">
        <is>
          <t>Các nước đi diễn ra nhanh chóng mượt mà theo đúng thời gian đã đặt.</t>
        </is>
      </c>
      <c r="I13" s="23" t="inlineStr">
        <is>
          <t>Điều chỉnh thanh tốc độ đi cờ (từ 1000ms xuống 200ms) hoạt động trơn tru mượt mà.</t>
        </is>
      </c>
      <c r="J13" s="28" t="inlineStr">
        <is>
          <t>Pass</t>
        </is>
      </c>
      <c r="K13" s="25" t="inlineStr">
        <is>
          <t>Medium</t>
        </is>
      </c>
      <c r="L13" s="38" t="n"/>
    </row>
    <row r="14" ht="41.4" customFormat="1" customHeight="1" s="26">
      <c r="A14" s="19" t="n">
        <v>10</v>
      </c>
      <c r="B14" s="20" t="inlineStr">
        <is>
          <t>TC_GAME_010</t>
        </is>
      </c>
      <c r="C14" s="38" t="inlineStr">
        <is>
          <t>AI vs AI</t>
        </is>
      </c>
      <c r="D14" s="38" t="inlineStr">
        <is>
          <t>Tạm dừng (Pause) và Tiếp tục (Resume) trận đấu AI vs AI</t>
        </is>
      </c>
      <c r="E14" s="38" t="inlineStr">
        <is>
          <t>Trận AI vs AI đang chạy</t>
        </is>
      </c>
      <c r="F14" s="38" t="inlineStr">
        <is>
          <t>1. Bấm nút "Tạm dừng"
2. Đợi 5 giây
3. Bấm nút "Tiếp tục"</t>
        </is>
      </c>
      <c r="G14" s="38" t="inlineStr">
        <is>
          <t>Nút Pause / Resume</t>
        </is>
      </c>
      <c r="H14" s="38" t="inlineStr">
        <is>
          <t>Trận đấu dừng ngay lập tức tại nước hiện tại, khi tiếp tục trận đấu chạy tiếp bình thường.</t>
        </is>
      </c>
      <c r="I14" s="23" t="inlineStr">
        <is>
          <t>Nút Tạm dừng (Pause) và Tiếp tục (Resume) trận đấu mô phỏng AI vs AI dừng và chạy lại chuẩn xác.</t>
        </is>
      </c>
      <c r="J14" s="28" t="inlineStr">
        <is>
          <t>Pass</t>
        </is>
      </c>
      <c r="K14" s="25" t="inlineStr">
        <is>
          <t>Medium</t>
        </is>
      </c>
      <c r="L14" s="38" t="n"/>
    </row>
    <row r="15" ht="41.4" customFormat="1" customHeight="1" s="26">
      <c r="A15" s="19" t="n">
        <v>11</v>
      </c>
      <c r="B15" s="20" t="inlineStr">
        <is>
          <t>TC_GAME_011</t>
        </is>
      </c>
      <c r="C15" s="38" t="inlineStr">
        <is>
          <t>Xếp bàn cờ</t>
        </is>
      </c>
      <c r="D15" s="38" t="inlineStr">
        <is>
          <t>Xếp bàn cờ tùy biến (Board Editor) - Đặt và Xóa quân</t>
        </is>
      </c>
      <c r="E15" s="38" t="inlineStr">
        <is>
          <t>Mở chế độ Xếp bàn cờ</t>
        </is>
      </c>
      <c r="F15" s="38" t="inlineStr">
        <is>
          <t>1. Chọn quân cờ từ khay
2. Đặt vào vị trí bất kỳ trên bàn cờ
3. Xóa một quân cờ</t>
        </is>
      </c>
      <c r="G15" s="38" t="inlineStr">
        <is>
          <t>Kéo thả quân cờ</t>
        </is>
      </c>
      <c r="H15" s="38" t="inlineStr">
        <is>
          <t>Quân cờ được gán đúng tọa độ, chuỗi FEN tự động cập nhật theo thế cờ vừa dựng.</t>
        </is>
      </c>
      <c r="I15" s="23" t="inlineStr">
        <is>
          <t>Board Editor cho phép đặt/xóa quân cờ tùy ý và tự động cập nhật chuỗi FEN thời gian thực.</t>
        </is>
      </c>
      <c r="J15" s="28" t="inlineStr">
        <is>
          <t>Pass</t>
        </is>
      </c>
      <c r="K15" s="25" t="inlineStr">
        <is>
          <t>Medium</t>
        </is>
      </c>
      <c r="L15" s="38" t="n"/>
    </row>
    <row r="16" ht="41.4" customFormat="1" customHeight="1" s="26">
      <c r="A16" s="19" t="n">
        <v>12</v>
      </c>
      <c r="B16" s="20" t="inlineStr">
        <is>
          <t>TC_GAME_012</t>
        </is>
      </c>
      <c r="C16" s="38" t="inlineStr">
        <is>
          <t>Xếp bàn cờ</t>
        </is>
      </c>
      <c r="D16" s="38" t="inlineStr">
        <is>
          <t>Kiểm tra tính hợp lệ của thế cờ tự xếp</t>
        </is>
      </c>
      <c r="E16" s="38" t="inlineStr">
        <is>
          <t>Người dùng xóa mất quân Tướng Đỏ và bấm "Chơi thế này"</t>
        </is>
      </c>
      <c r="F16" s="38" t="inlineStr">
        <is>
          <t>1. Dựng thế cờ thiếu Tướng
2. Bấm nút "Vào chơi"</t>
        </is>
      </c>
      <c r="G16" s="38" t="inlineStr">
        <is>
          <t>Thế cờ không có Tướng</t>
        </is>
      </c>
      <c r="H16" s="38" t="inlineStr">
        <is>
          <t>Báo lỗi: "Thế cờ không hợp lệ. Mỗi bên bắt buộc phải có đúng một quân Tướng trong Cung."</t>
        </is>
      </c>
      <c r="I16" s="23" t="inlineStr">
        <is>
          <t>Kiểm tra tính hợp lệ thế cờ tự xếp: Báo lỗi khi thiếu quân Tướng hoặc Tướng ở ngoài Cung.</t>
        </is>
      </c>
      <c r="J16" s="28" t="inlineStr">
        <is>
          <t>Pass</t>
        </is>
      </c>
      <c r="K16" s="24" t="inlineStr">
        <is>
          <t>High</t>
        </is>
      </c>
      <c r="L16" s="38" t="n"/>
    </row>
    <row r="17" ht="41.4" customFormat="1" customHeight="1" s="26">
      <c r="A17" s="19" t="n">
        <v>13</v>
      </c>
      <c r="B17" s="20" t="inlineStr">
        <is>
          <t>TC_GAME_013</t>
        </is>
      </c>
      <c r="C17" s="38" t="inlineStr">
        <is>
          <t>Nhập / Xuất FEN</t>
        </is>
      </c>
      <c r="D17" s="38" t="inlineStr">
        <is>
          <t>Nhập chuỗi FEN hợp lệ để dựng bàn cờ</t>
        </is>
      </c>
      <c r="E17" s="38" t="inlineStr">
        <is>
          <t>Mở hộp thoại Nhập FEN</t>
        </is>
      </c>
      <c r="F17" s="38" t="inlineStr">
        <is>
          <t>1. Dán chuỗi FEN hợp lệ
2. Bấm "Tải thế cờ"</t>
        </is>
      </c>
      <c r="G17" s="38" t="inlineStr">
        <is>
          <t>FEN cờ tàn chuẩn</t>
        </is>
      </c>
      <c r="H17" s="38" t="inlineStr">
        <is>
          <t>Bàn cờ dựng lại chính xác 100% vị trí các quân cờ và lượt đi theo chuỗi FEN.</t>
        </is>
      </c>
      <c r="I17" s="23" t="inlineStr">
        <is>
          <t>HTTP 201 Created, server âm thầm gán initialFen = null và trả về bàn cờ mặc định</t>
        </is>
      </c>
      <c r="J17" s="63" t="inlineStr">
        <is>
          <t>Fail</t>
        </is>
      </c>
      <c r="K17" s="24" t="inlineStr">
        <is>
          <t>High</t>
        </is>
      </c>
      <c r="L17" s="38" t="inlineStr">
        <is>
          <t>BUG_011</t>
        </is>
      </c>
    </row>
    <row r="18" ht="41.4" customFormat="1" customHeight="1" s="26">
      <c r="A18" s="19" t="n">
        <v>14</v>
      </c>
      <c r="B18" s="20" t="inlineStr">
        <is>
          <t>TC_GAME_014</t>
        </is>
      </c>
      <c r="C18" s="38" t="inlineStr">
        <is>
          <t>Nhập / Xuất FEN</t>
        </is>
      </c>
      <c r="D18" s="38" t="inlineStr">
        <is>
          <t>Nhập chuỗi FEN sai định dạng</t>
        </is>
      </c>
      <c r="E18" s="38" t="inlineStr">
        <is>
          <t>Mở hộp thoại Nhập FEN</t>
        </is>
      </c>
      <c r="F18" s="38" t="inlineStr">
        <is>
          <t>1. Dán chuỗi văn bản rác hoặc sai cấu trúc FEN
2. Bấm "Tải thế cờ"</t>
        </is>
      </c>
      <c r="G18" s="38" t="inlineStr">
        <is>
          <t>Chuỗi: "invalid_fen_12345"</t>
        </is>
      </c>
      <c r="H18" s="38" t="inlineStr">
        <is>
          <t>Báo lỗi định dạng FEN không hợp lệ, giữ nguyên trạng thái bàn cờ hiện tại.</t>
        </is>
      </c>
      <c r="I18" s="23" t="inlineStr">
        <is>
          <t>Nhập chuỗi FEN sai định dạng bị từ chối và giữ nguyên thế cờ hiện tại.</t>
        </is>
      </c>
      <c r="J18" s="28" t="inlineStr">
        <is>
          <t>Pass</t>
        </is>
      </c>
      <c r="K18" s="25" t="inlineStr">
        <is>
          <t>Medium</t>
        </is>
      </c>
      <c r="L18" s="38" t="n"/>
    </row>
    <row r="19" ht="41.4" customFormat="1" customHeight="1" s="26">
      <c r="A19" s="19" t="n">
        <v>15</v>
      </c>
      <c r="B19" s="20" t="inlineStr">
        <is>
          <t>TC_GAME_015</t>
        </is>
      </c>
      <c r="C19" s="38" t="inlineStr">
        <is>
          <t>Hỗ trợ trận đấu</t>
        </is>
      </c>
      <c r="D19" s="38" t="inlineStr">
        <is>
          <t>Tính năng Đi lại (Undo) nước cờ</t>
        </is>
      </c>
      <c r="E19" s="38" t="inlineStr">
        <is>
          <t>Đang đấu với AI hoặc chơi 2 người, đã đi được &gt;= 2 nước</t>
        </is>
      </c>
      <c r="F19" s="38" t="inlineStr">
        <is>
          <t>1. Bấm nút "Xin đi lại" (Undo)
2. Kiểm tra bàn cờ</t>
        </is>
      </c>
      <c r="G19" s="38" t="inlineStr">
        <is>
          <t>Nút Undo</t>
        </is>
      </c>
      <c r="H19" s="38" t="inlineStr">
        <is>
          <t>Bàn cờ lùi lại 2 nước (khi đấu AI) hoặc 1 nước (khi chơi 2 người). Vị trí quân và điểm số cập nhật lùi lại đúng.</t>
        </is>
      </c>
      <c r="I19" s="23" t="inlineStr">
        <is>
          <t>Tính năng Xin đi lại (Undo) lùi lại 2 nước khi đấu AI hoặc 1 nước khi chơi 2 người chính xác.</t>
        </is>
      </c>
      <c r="J19" s="28" t="inlineStr">
        <is>
          <t>Pass</t>
        </is>
      </c>
      <c r="K19" s="25" t="inlineStr">
        <is>
          <t>Medium</t>
        </is>
      </c>
      <c r="L19" s="38" t="n"/>
    </row>
    <row r="20" ht="41.4" customFormat="1" customHeight="1" s="26">
      <c r="A20" s="19" t="n">
        <v>16</v>
      </c>
      <c r="B20" s="20" t="inlineStr">
        <is>
          <t>TC_GAME_016</t>
        </is>
      </c>
      <c r="C20" s="38" t="inlineStr">
        <is>
          <t>Hỗ trợ trận đấu</t>
        </is>
      </c>
      <c r="D20" s="38" t="inlineStr">
        <is>
          <t>Tính năng Gợi ý nước đi (Hint)</t>
        </is>
      </c>
      <c r="E20" s="38" t="inlineStr">
        <is>
          <t>Đến lượt người chơi trong ván cờ</t>
        </is>
      </c>
      <c r="F20" s="38" t="inlineStr">
        <is>
          <t>1. Bấm nút "Gợi ý" (Hint)
2. Quan sát bàn cờ</t>
        </is>
      </c>
      <c r="G20" s="38" t="inlineStr">
        <is>
          <t>Nút Hint</t>
        </is>
      </c>
      <c r="H20" s="38" t="inlineStr">
        <is>
          <t>Hiển thị mũi tên hoặc ô sáng màu vàng chỉ nước đi tốt nhất do AI tính toán gợi ý.</t>
        </is>
      </c>
      <c r="I20" s="23" t="inlineStr">
        <is>
          <t>Nút Gợi ý (Hint) hiển thị mũi tên vàng chỉ nước cờ tối ưu do thuật toán AI đề xuất.</t>
        </is>
      </c>
      <c r="J20" s="28" t="inlineStr">
        <is>
          <t>Pass</t>
        </is>
      </c>
      <c r="K20" s="25" t="inlineStr">
        <is>
          <t>Medium</t>
        </is>
      </c>
      <c r="L20" s="38" t="n"/>
    </row>
    <row r="21" ht="41.4" customFormat="1" customHeight="1" s="26">
      <c r="A21" s="19" t="n">
        <v>17</v>
      </c>
      <c r="B21" s="20" t="inlineStr">
        <is>
          <t>TC_GAME_017</t>
        </is>
      </c>
      <c r="C21" s="38" t="inlineStr">
        <is>
          <t>Khai cuộc ECCO</t>
        </is>
      </c>
      <c r="D21" s="38" t="inlineStr">
        <is>
          <t>Tự động nhận diện thế trận khai cuộc ECCO</t>
        </is>
      </c>
      <c r="E21" s="38" t="inlineStr">
        <is>
          <t>Bắt đầu ván mới</t>
        </is>
      </c>
      <c r="F21" s="38" t="inlineStr">
        <is>
          <t>1. Đỏ đi Pháo 2 bình 5 (Pháo Đầu)
2. Đen đi Mã 8 tiến 7 (Bình Phong Mã)
3. Quan sát chip khai cuộc</t>
        </is>
      </c>
      <c r="G21" s="38" t="inlineStr">
        <is>
          <t>Nước đi khai cuộc</t>
        </is>
      </c>
      <c r="H21" s="38" t="inlineStr">
        <is>
          <t>Chip ECCO cập nhật tên thế trận chuẩn xác: "ECCO-C01: Pháo Đầu đối Bình Phong Mã".</t>
        </is>
      </c>
      <c r="I21" s="23" t="inlineStr">
        <is>
          <t>Tự động nhận diện thế trận khai cuộc ECCO (ví dụ ECCO-C01: Pháo Đầu đối Bình Phong Mã).</t>
        </is>
      </c>
      <c r="J21" s="28" t="inlineStr">
        <is>
          <t>Pass</t>
        </is>
      </c>
      <c r="K21" s="25" t="inlineStr">
        <is>
          <t>Medium</t>
        </is>
      </c>
      <c r="L21" s="38" t="n"/>
    </row>
    <row r="22" ht="41.4" customFormat="1" customHeight="1" s="26">
      <c r="A22" s="19" t="n">
        <v>18</v>
      </c>
      <c r="B22" s="20" t="inlineStr">
        <is>
          <t>TC_GAME_018</t>
        </is>
      </c>
      <c r="C22" s="38" t="inlineStr">
        <is>
          <t>Đánh giá AI</t>
        </is>
      </c>
      <c r="D22" s="38" t="inlineStr">
        <is>
          <t>Thanh đánh giá thế trận (Heuristic Evaluation Bar)</t>
        </is>
      </c>
      <c r="E22" s="38" t="inlineStr">
        <is>
          <t>Ván cờ đang diễn ra</t>
        </is>
      </c>
      <c r="F22" s="38" t="inlineStr">
        <is>
          <t>1. Đi một nước cờ ăn quân Xe đối phương
2. Quan sát thanh Heuristic Bar bên cạnh bàn cờ</t>
        </is>
      </c>
      <c r="G22" s="38" t="inlineStr">
        <is>
          <t>Ăn quân Xe (+900 centipawn)</t>
        </is>
      </c>
      <c r="H22" s="38" t="inlineStr">
        <is>
          <t>Thanh Heuristic Bar tăng mạnh dải màu Đỏ thể hiện ưu thế vượt trội (+5.0 đến +9.0 điểm).</t>
        </is>
      </c>
      <c r="I22" s="23" t="inlineStr">
        <is>
          <t>Thanh Heuristic Evaluation Bar cập nhật dải màu đỏ/đen tương ứng với chênh lệch điểm số quân lực và vị trí.</t>
        </is>
      </c>
      <c r="J22" s="28" t="inlineStr">
        <is>
          <t>Pass</t>
        </is>
      </c>
      <c r="K22" s="25" t="inlineStr">
        <is>
          <t>Medium</t>
        </is>
      </c>
      <c r="L22" s="38" t="n"/>
    </row>
  </sheetData>
  <mergeCells count="2">
    <mergeCell ref="A2:L2"/>
    <mergeCell ref="A1:L1"/>
  </mergeCells>
  <dataValidations count="1">
    <dataValidation sqref="J5:J22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5" sqref="A5:XFD24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ĐẤU TRỰC TUYẾN THỜI GIAN THỰC (ONLINE MULTIPLAYER &amp; SIGNALR)</t>
        </is>
      </c>
    </row>
    <row r="2" ht="18" customHeight="1" s="34">
      <c r="A2" s="61" t="inlineStr">
        <is>
          <t>Kiểm tra Sảnh công khai, Phòng riêng mã 8 ký tự, Đồng bộ nước đi Realtime, Đồng hồ rụng kim, Reconnect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41.4" customFormat="1" customHeight="1" s="26">
      <c r="A5" s="19" t="n">
        <v>1</v>
      </c>
      <c r="B5" s="20" t="inlineStr">
        <is>
          <t>TC_ONL_001</t>
        </is>
      </c>
      <c r="C5" s="38" t="inlineStr">
        <is>
          <t>Sảnh chờ</t>
        </is>
      </c>
      <c r="D5" s="38" t="inlineStr">
        <is>
          <t>Hiển thị danh sách phòng chờ công khai theo 4 Tier Elo</t>
        </is>
      </c>
      <c r="E5" s="38" t="inlineStr">
        <is>
          <t>Người dùng ở trang Sảnh trực tuyến (/Game hoặc Online Lobby)</t>
        </is>
      </c>
      <c r="F5" s="38" t="inlineStr">
        <is>
          <t>1. Vào mục Sảnh chờ công khai
2. Kiểm tra danh sách 4 phân hạng</t>
        </is>
      </c>
      <c r="G5" s="38" t="inlineStr">
        <is>
          <t>Tier: Nhập môn, Kỳ thủ, Kiện tướng, Đại sư</t>
        </is>
      </c>
      <c r="H5" s="38" t="inlineStr">
        <is>
          <t>Hiển thị đúng 4 phân hạng, số lượng phòng đang mở và các trận đấu đang diễn ra.</t>
        </is>
      </c>
      <c r="I5" s="23" t="inlineStr">
        <is>
          <t>Sảnh chờ công khai hiển thị đầy đủ 4 phân hạng Tier Elo (Nhập môn, Kỳ thủ, Kiện tướng, Đại sư).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55.2" customFormat="1" customHeight="1" s="26">
      <c r="A6" s="19" t="n">
        <v>2</v>
      </c>
      <c r="B6" s="20" t="inlineStr">
        <is>
          <t>TC_ONL_002</t>
        </is>
      </c>
      <c r="C6" s="38" t="inlineStr">
        <is>
          <t>Tạo phòng</t>
        </is>
      </c>
      <c r="D6" s="38" t="inlineStr">
        <is>
          <t>Tạo phòng chơi riêng tư sinh mã ngẫu nhiên 8 ký tự</t>
        </is>
      </c>
      <c r="E6" s="38" t="inlineStr">
        <is>
          <t>Người dùng đã đăng nhập tài khoản</t>
        </is>
      </c>
      <c r="F6" s="38" t="inlineStr">
        <is>
          <t>1. Chọn "Tạo phòng riêng"
2. Thiết lập thời gian (10 phút)
3. Bấm "Tạo phòng"</t>
        </is>
      </c>
      <c r="G6" s="38" t="inlineStr">
        <is>
          <t>Phòng Private, Time: 10m</t>
        </is>
      </c>
      <c r="H6" s="38" t="inlineStr">
        <is>
          <t>Hệ thống sinh mã phòng ngẫu nhiên gồm 8 ký tự in hoa (ví dụ: Z8J67ZZA), chuyển người tạo vào trạng thái Chờ đối thủ.</t>
        </is>
      </c>
      <c r="I6" s="23" t="inlineStr">
        <is>
          <t>Tạo phòng riêng sinh mã ngẫu nhiên 8 ký tự in hoa (ví dụ Z8J67ZZA) và đưa chủ phòng vào trạng thái chờ.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41.4" customFormat="1" customHeight="1" s="26">
      <c r="A7" s="19" t="n">
        <v>3</v>
      </c>
      <c r="B7" s="20" t="inlineStr">
        <is>
          <t>TC_ONL_003</t>
        </is>
      </c>
      <c r="C7" s="38" t="inlineStr">
        <is>
          <t>Vào phòng</t>
        </is>
      </c>
      <c r="D7" s="38" t="inlineStr">
        <is>
          <t>Nhập mã phòng 8 ký tự hợp lệ để tham gia thi đấu</t>
        </is>
      </c>
      <c r="E7" s="38" t="inlineStr">
        <is>
          <t>Phòng "Z8J67ZZA" đang mở chờ đối thủ</t>
        </is>
      </c>
      <c r="F7" s="38" t="inlineStr">
        <is>
          <t>1. Người chơi 2 vào tab "Nhập mã phòng"
2. Nhập chính xác "Z8J67ZZA"
3. Bấm "Vào phòng"</t>
        </is>
      </c>
      <c r="G7" s="38" t="inlineStr">
        <is>
          <t>Mã: Z8J67ZZA</t>
        </is>
      </c>
      <c r="H7" s="38" t="inlineStr">
        <is>
          <t>Người chơi 2 gia nhập phòng thành công, SignalR thông báo cho cả 2 người, chuyển sang màn hình bàn cờ.</t>
        </is>
      </c>
      <c r="I7" s="23" t="inlineStr">
        <is>
          <t>Người chơi thứ 2 nhập mã phòng 8 ký tự tham gia thành công, SignalR thông báo và chuyển vào bàn cờ.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41.4" customFormat="1" customHeight="1" s="26">
      <c r="A8" s="19" t="n">
        <v>4</v>
      </c>
      <c r="B8" s="20" t="inlineStr">
        <is>
          <t>TC_ONL_004</t>
        </is>
      </c>
      <c r="C8" s="38" t="inlineStr">
        <is>
          <t>Vào phòng</t>
        </is>
      </c>
      <c r="D8" s="38" t="inlineStr">
        <is>
          <t>Nhập mã phòng không tồn tại hoặc phòng đã kết thúc</t>
        </is>
      </c>
      <c r="E8" s="38" t="inlineStr">
        <is>
          <t>Mã phòng "ABCDEFGH" không có trong hệ thống</t>
        </is>
      </c>
      <c r="F8" s="38" t="inlineStr">
        <is>
          <t>1. Nhập mã "ABCDEFGH"
2. Bấm "Vào phòng"</t>
        </is>
      </c>
      <c r="G8" s="38" t="inlineStr">
        <is>
          <t>Mã: ABCDEFGH</t>
        </is>
      </c>
      <c r="H8" s="38" t="inlineStr">
        <is>
          <t>Báo lỗi: "Không tìm thấy phòng chơi hoặc phòng đã đóng". Không chuyển màn hình.</t>
        </is>
      </c>
      <c r="I8" s="23" t="inlineStr">
        <is>
          <t>Nhập mã phòng không tồn tại bị từ chối với thông báo 'Không tìm thấy phòng chơi hoặc phòng đã đóng'.</t>
        </is>
      </c>
      <c r="J8" s="28" t="inlineStr">
        <is>
          <t>Pass</t>
        </is>
      </c>
      <c r="K8" s="24" t="inlineStr">
        <is>
          <t>High</t>
        </is>
      </c>
      <c r="L8" s="38" t="n"/>
    </row>
    <row r="9" ht="41.4" customFormat="1" customHeight="1" s="26">
      <c r="A9" s="19" t="n">
        <v>5</v>
      </c>
      <c r="B9" s="20" t="inlineStr">
        <is>
          <t>TC_ONL_005</t>
        </is>
      </c>
      <c r="C9" s="38" t="inlineStr">
        <is>
          <t>Vào phòng</t>
        </is>
      </c>
      <c r="D9" s="38" t="inlineStr">
        <is>
          <t>Cố gắng vào phòng đã đủ 2 người chơi</t>
        </is>
      </c>
      <c r="E9" s="38" t="inlineStr">
        <is>
          <t>Phòng đã có đủ Player Red và Player Black</t>
        </is>
      </c>
      <c r="F9" s="38" t="inlineStr">
        <is>
          <t>1. Người thứ 3 nhập mã phòng
2. Bấm "Vào phòng"</t>
        </is>
      </c>
      <c r="G9" s="38" t="inlineStr">
        <is>
          <t>Phòng full</t>
        </is>
      </c>
      <c r="H9" s="38" t="inlineStr">
        <is>
          <t>Thông báo: "Phòng đã đủ người chơi. Bạn có muốn vào xem với tư cách Khán giả không?"</t>
        </is>
      </c>
      <c r="I9" s="23" t="inlineStr">
        <is>
          <t>Phòng đã đủ 2 người chơi tự động hỏi người thứ 3 vào xem với tư cách Khán giả.</t>
        </is>
      </c>
      <c r="J9" s="28" t="inlineStr">
        <is>
          <t>Pass</t>
        </is>
      </c>
      <c r="K9" s="25" t="inlineStr">
        <is>
          <t>Medium</t>
        </is>
      </c>
      <c r="L9" s="38" t="n"/>
    </row>
    <row r="10" ht="41.4" customFormat="1" customHeight="1" s="26">
      <c r="A10" s="19" t="n">
        <v>6</v>
      </c>
      <c r="B10" s="20" t="inlineStr">
        <is>
          <t>TC_ONL_006</t>
        </is>
      </c>
      <c r="C10" s="38" t="inlineStr">
        <is>
          <t>Bắt đầu trận</t>
        </is>
      </c>
      <c r="D10" s="38" t="inlineStr">
        <is>
          <t>Phân chia màu quân Đỏ / Đen và khởi tạo bàn cờ</t>
        </is>
      </c>
      <c r="E10" s="38" t="inlineStr">
        <is>
          <t>Cả 2 người chơi đã kết nối vào phòng</t>
        </is>
      </c>
      <c r="F10" s="38" t="inlineStr">
        <is>
          <t>1. Hệ thống xác nhận bắt đầu trận
2. Kiểm tra màu quân của 2 máy</t>
        </is>
      </c>
      <c r="G10" s="38" t="inlineStr">
        <is>
          <t>Bắt đầu ván Online</t>
        </is>
      </c>
      <c r="H10" s="38" t="inlineStr">
        <is>
          <t>Người chơi Đỏ cầm quân Đỏ ở nửa dưới màn hình. Người chơi Đen cầm quân Đen ở nửa dưới màn hình.</t>
        </is>
      </c>
      <c r="I10" s="23" t="inlineStr">
        <is>
          <t>Bắt đầu trận Online: Phân định rõ ràng người chơi Đỏ cầm quân Đỏ dưới, người chơi Đen cầm quân Đen dưới.</t>
        </is>
      </c>
      <c r="J10" s="28" t="inlineStr">
        <is>
          <t>Pass</t>
        </is>
      </c>
      <c r="K10" s="24" t="inlineStr">
        <is>
          <t>High</t>
        </is>
      </c>
      <c r="L10" s="38" t="n"/>
    </row>
    <row r="11" ht="55.2" customFormat="1" customHeight="1" s="26">
      <c r="A11" s="19" t="n">
        <v>7</v>
      </c>
      <c r="B11" s="20" t="inlineStr">
        <is>
          <t>TC_ONL_007</t>
        </is>
      </c>
      <c r="C11" s="38" t="inlineStr">
        <is>
          <t>Realtime SignalR</t>
        </is>
      </c>
      <c r="D11" s="38" t="inlineStr">
        <is>
          <t>Đồng bộ nước đi thời gian thực qua SignalR Hub</t>
        </is>
      </c>
      <c r="E11" s="38" t="inlineStr">
        <is>
          <t>Ván cờ Online đang diễn ra</t>
        </is>
      </c>
      <c r="F11" s="38" t="inlineStr">
        <is>
          <t>1. Người chơi Đỏ đi Pháo 2 bình 5 trên máy A
2. Quan sát màn hình máy B của đối thủ</t>
        </is>
      </c>
      <c r="G11" s="38" t="inlineStr">
        <is>
          <t>Nước đi: b3-e3</t>
        </is>
      </c>
      <c r="H11" s="38" t="inlineStr">
        <is>
          <t>Màn hình máy B tự động cập nhật quân Pháo Đỏ nhảy sang e3 trong thời gian &lt; 150ms mà không cần tải lại trang.</t>
        </is>
      </c>
      <c r="I11" s="23" t="inlineStr">
        <is>
          <t>Đồng bộ nước đi thời gian thực qua SignalR Hub đạt độ trễ cực thấp (&lt; 150ms) không cần tải lại trang.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41.4" customFormat="1" customHeight="1" s="26">
      <c r="A12" s="19" t="n">
        <v>8</v>
      </c>
      <c r="B12" s="20" t="inlineStr">
        <is>
          <t>TC_ONL_008</t>
        </is>
      </c>
      <c r="C12" s="38" t="inlineStr">
        <is>
          <t>Bảo mật nước đi</t>
        </is>
      </c>
      <c r="D12" s="38" t="inlineStr">
        <is>
          <t>Chặn nước đi không hợp lệ gửi trực tiếp qua SignalR (Anti-cheat)</t>
        </is>
      </c>
      <c r="E12" s="38" t="inlineStr">
        <is>
          <t>Kẻ gian cố tình can thiệp mã WebSocket gửi nước đi sai luật</t>
        </is>
      </c>
      <c r="F12" s="38" t="inlineStr">
        <is>
          <t>1. Bắn lệnh move không hợp lệ qua SignalR Hub (ví dụ Tướng nhảy qua sông)
2. Kiểm tra phản hồi server</t>
        </is>
      </c>
      <c r="G12" s="38" t="inlineStr">
        <is>
          <t>Nước đi hack: e1-e6</t>
        </is>
      </c>
      <c r="H12" s="38" t="inlineStr">
        <is>
          <t>Backend GameHub chặn lại ngay lập tức, trả về lỗi InvalidMove, không đồng bộ nước đi này cho đối thủ.</t>
        </is>
      </c>
      <c r="I12" s="23" t="inlineStr">
        <is>
          <t>Bảo mật Anti-cheat: GameHub chặn ngay lập tức các lệnh WebSocket chứa nước đi sai luật.</t>
        </is>
      </c>
      <c r="J12" s="28" t="inlineStr">
        <is>
          <t>Pass</t>
        </is>
      </c>
      <c r="K12" s="24" t="inlineStr">
        <is>
          <t>High</t>
        </is>
      </c>
      <c r="L12" s="38" t="n"/>
    </row>
    <row r="13" ht="41.4" customFormat="1" customHeight="1" s="26">
      <c r="A13" s="19" t="n">
        <v>9</v>
      </c>
      <c r="B13" s="20" t="inlineStr">
        <is>
          <t>TC_ONL_009</t>
        </is>
      </c>
      <c r="C13" s="38" t="inlineStr">
        <is>
          <t>Đồng hồ đếm ngược</t>
        </is>
      </c>
      <c r="D13" s="38" t="inlineStr">
        <is>
          <t>Đồng hồ đếm ngược mỗi bên giảm đúng theo thời gian thực</t>
        </is>
      </c>
      <c r="E13" s="38" t="inlineStr">
        <is>
          <t>Ván đấu 10 phút, đến lượt bên Đỏ</t>
        </is>
      </c>
      <c r="F13" s="38" t="inlineStr">
        <is>
          <t>1. Đỏ suy nghĩ trong 10 giây
2. Quan sát đồng hồ bên Đỏ và Đen</t>
        </is>
      </c>
      <c r="G13" s="38" t="inlineStr">
        <is>
          <t>Thời gian suy nghĩ: 10s</t>
        </is>
      </c>
      <c r="H13" s="38" t="inlineStr">
        <is>
          <t>Đồng hồ bên Đỏ giảm đúng từ 10:00 xuống 09:50. Đồng hồ bên Đen giữ nguyên đóng băng.</t>
        </is>
      </c>
      <c r="I13" s="23" t="inlineStr">
        <is>
          <t>Đồng hồ đếm ngược chỉ giảm bên người chơi đang suy nghĩ, bên đối phương giữ nguyên.</t>
        </is>
      </c>
      <c r="J13" s="28" t="inlineStr">
        <is>
          <t>Pass</t>
        </is>
      </c>
      <c r="K13" s="24" t="inlineStr">
        <is>
          <t>High</t>
        </is>
      </c>
      <c r="L13" s="38" t="n"/>
    </row>
    <row r="14" ht="41.4" customFormat="1" customHeight="1" s="26">
      <c r="A14" s="19" t="n">
        <v>10</v>
      </c>
      <c r="B14" s="20" t="inlineStr">
        <is>
          <t>TC_ONL_010</t>
        </is>
      </c>
      <c r="C14" s="38" t="inlineStr">
        <is>
          <t>Xử lý rụng kim</t>
        </is>
      </c>
      <c r="D14" s="38" t="inlineStr">
        <is>
          <t>Nút "⚡ XỬ THẮNG RỤNG KIM" xuất hiện khi đối thủ hết giờ</t>
        </is>
      </c>
      <c r="E14" s="38" t="inlineStr">
        <is>
          <t>Đối thủ hết thời gian nước đi (quá 3 phút không đi nước cờ)</t>
        </is>
      </c>
      <c r="F14" s="38" t="inlineStr">
        <is>
          <t>1. Đợi đối thủ quá 3 phút
2. Quan sát nút hành động trên màn hình</t>
        </is>
      </c>
      <c r="G14" s="38" t="inlineStr">
        <is>
          <t>Timeout: 3 phút</t>
        </is>
      </c>
      <c r="H14" s="38" t="inlineStr">
        <is>
          <t>Xuất hiện nút màu vàng cam nổi bật: "⚡ XỬ THẮNG RỤNG KIM" kèm thông báo đối thủ đã hết giờ.</t>
        </is>
      </c>
      <c r="I14" s="23" t="inlineStr">
        <is>
          <t>Nút '⚡ XỬ THẮNG RỤNG KIM' xuất hiện màu cam nổi bật khi đối thủ quá 3 phút không đi nước cờ.</t>
        </is>
      </c>
      <c r="J14" s="28" t="inlineStr">
        <is>
          <t>Pass</t>
        </is>
      </c>
      <c r="K14" s="24" t="inlineStr">
        <is>
          <t>High</t>
        </is>
      </c>
      <c r="L14" s="38" t="n"/>
    </row>
    <row r="15" ht="55.2" customFormat="1" customHeight="1" s="26">
      <c r="A15" s="19" t="n">
        <v>11</v>
      </c>
      <c r="B15" s="20" t="inlineStr">
        <is>
          <t>TC_ONL_011</t>
        </is>
      </c>
      <c r="C15" s="38" t="inlineStr">
        <is>
          <t>Xử lý rụng kim</t>
        </is>
      </c>
      <c r="D15" s="38" t="inlineStr">
        <is>
          <t>Nhấn nút Xử thắng rụng kim kết thúc ván cờ ngay lập tức</t>
        </is>
      </c>
      <c r="E15" s="38" t="inlineStr">
        <is>
          <t>Nút Xử thắng rụng kim đang hiển thị</t>
        </is>
      </c>
      <c r="F15" s="38" t="inlineStr">
        <is>
          <t>1. Người chơi bấm nút "⚡ XỬ THẮNG RỤNG KIM"
2. Quan sát phản hồi server</t>
        </is>
      </c>
      <c r="G15" s="38" t="inlineStr">
        <is>
          <t>Click nút timeout claim</t>
        </is>
      </c>
      <c r="H15" s="38" t="inlineStr">
        <is>
          <t>Máy chủ ASP.NET xác thực thời gian, phát thông báo kết thúc ván: "Thắng cuộc do đối thủ rụng kim (hết giờ)", cộng điểm Elo cho người bấm.</t>
        </is>
      </c>
      <c r="I15" s="23" t="inlineStr">
        <is>
          <t>Bấm nút Xử thắng rụng kim gửi xác thực lên server, kết thúc ván và cộng điểm Elo người thắng.</t>
        </is>
      </c>
      <c r="J15" s="28" t="inlineStr">
        <is>
          <t>Pass</t>
        </is>
      </c>
      <c r="K15" s="24" t="inlineStr">
        <is>
          <t>High</t>
        </is>
      </c>
      <c r="L15" s="38" t="n"/>
    </row>
    <row r="16" ht="55.2" customFormat="1" customHeight="1" s="26">
      <c r="A16" s="19" t="n">
        <v>12</v>
      </c>
      <c r="B16" s="20" t="inlineStr">
        <is>
          <t>TC_ONL_012</t>
        </is>
      </c>
      <c r="C16" s="38" t="inlineStr">
        <is>
          <t>Cầu hòa</t>
        </is>
      </c>
      <c r="D16" s="38" t="inlineStr">
        <is>
          <t>Gửi yêu cầu Cầu hòa (Draw Offer) tới đối thủ</t>
        </is>
      </c>
      <c r="E16" s="38" t="inlineStr">
        <is>
          <t>Ván cờ đang ở thế giằng co</t>
        </is>
      </c>
      <c r="F16" s="38" t="inlineStr">
        <is>
          <t>1. Bấm nút "Xin hòa"
2. Kiểm tra màn hình đối thủ</t>
        </is>
      </c>
      <c r="G16" s="38" t="inlineStr">
        <is>
          <t>Hành động: Xin hòa</t>
        </is>
      </c>
      <c r="H16" s="38" t="inlineStr">
        <is>
          <t>Màn hình đối thủ xuất hiện hộp thoại: "Đối thủ gửi lời mời hòa cờ. Bạn có đồng ý không?" kèm 2 nút Đồng ý / Từ chối.</t>
        </is>
      </c>
      <c r="I16" s="23" t="inlineStr">
        <is>
          <t>Gửi yêu cầu Cầu hòa xuất hiện hộp thoại mời hòa trên máy đối thủ kèm 2 nút Đồng ý / Từ chối.</t>
        </is>
      </c>
      <c r="J16" s="28" t="inlineStr">
        <is>
          <t>Pass</t>
        </is>
      </c>
      <c r="K16" s="25" t="inlineStr">
        <is>
          <t>Medium</t>
        </is>
      </c>
      <c r="L16" s="38" t="n"/>
    </row>
    <row r="17" ht="41.4" customFormat="1" customHeight="1" s="26">
      <c r="A17" s="19" t="n">
        <v>13</v>
      </c>
      <c r="B17" s="20" t="inlineStr">
        <is>
          <t>TC_ONL_013</t>
        </is>
      </c>
      <c r="C17" s="38" t="inlineStr">
        <is>
          <t>Cầu hòa</t>
        </is>
      </c>
      <c r="D17" s="38" t="inlineStr">
        <is>
          <t>Đối thủ chấp nhận yêu cầu Cầu hòa</t>
        </is>
      </c>
      <c r="E17" s="38" t="inlineStr">
        <is>
          <t>Hộp thoại mời hòa đang mở</t>
        </is>
      </c>
      <c r="F17" s="38" t="inlineStr">
        <is>
          <t>1. Đối thủ bấm nút "Đồng ý"
2. Quan sát kết thúc ván</t>
        </is>
      </c>
      <c r="G17" s="38" t="inlineStr">
        <is>
          <t>Chọn: Đồng ý hòa</t>
        </is>
      </c>
      <c r="H17" s="38" t="inlineStr">
        <is>
          <t>Ván đấu kết thúc với kết quả Hòa cờ, cập nhật số trận hòa vào hồ sơ cả 2 người chơi.</t>
        </is>
      </c>
      <c r="I17" s="23" t="inlineStr">
        <is>
          <t>Đối thủ đồng ý cầu hòa: Ván đấu kết thúc với kết quả Hòa cờ và ghi nhận hồ sơ.</t>
        </is>
      </c>
      <c r="J17" s="28" t="inlineStr">
        <is>
          <t>Pass</t>
        </is>
      </c>
      <c r="K17" s="25" t="inlineStr">
        <is>
          <t>Medium</t>
        </is>
      </c>
      <c r="L17" s="38" t="n"/>
    </row>
    <row r="18" ht="41.4" customFormat="1" customHeight="1" s="26">
      <c r="A18" s="19" t="n">
        <v>14</v>
      </c>
      <c r="B18" s="20" t="inlineStr">
        <is>
          <t>TC_ONL_014</t>
        </is>
      </c>
      <c r="C18" s="38" t="inlineStr">
        <is>
          <t>Cầu hòa</t>
        </is>
      </c>
      <c r="D18" s="38" t="inlineStr">
        <is>
          <t>Đối thủ từ chối yêu cầu Cầu hòa</t>
        </is>
      </c>
      <c r="E18" s="38" t="inlineStr">
        <is>
          <t>Hộp thoại mời hòa đang mở</t>
        </is>
      </c>
      <c r="F18" s="38" t="inlineStr">
        <is>
          <t>1. Đối thủ bấm nút "Từ chối"
2. Kiểm tra ván cờ</t>
        </is>
      </c>
      <c r="G18" s="38" t="inlineStr">
        <is>
          <t>Chọn: Từ chối hòa</t>
        </is>
      </c>
      <c r="H18" s="38" t="inlineStr">
        <is>
          <t>Thông báo cho người xin hòa: "Đối thủ từ chối lời mời hòa". Ván cờ tiếp tục bình thường.</t>
        </is>
      </c>
      <c r="I18" s="23" t="inlineStr">
        <is>
          <t>Đối thủ từ chối cầu hòa: Thông báo cho người xin hòa và ván cờ tiếp tục bình thường.</t>
        </is>
      </c>
      <c r="J18" s="28" t="inlineStr">
        <is>
          <t>Pass</t>
        </is>
      </c>
      <c r="K18" s="25" t="inlineStr">
        <is>
          <t>Medium</t>
        </is>
      </c>
      <c r="L18" s="38" t="n"/>
    </row>
    <row r="19" ht="55.2" customFormat="1" customHeight="1" s="26">
      <c r="A19" s="19" t="n">
        <v>15</v>
      </c>
      <c r="B19" s="20" t="inlineStr">
        <is>
          <t>TC_ONL_015</t>
        </is>
      </c>
      <c r="C19" s="38" t="inlineStr">
        <is>
          <t>Đầu hàng</t>
        </is>
      </c>
      <c r="D19" s="38" t="inlineStr">
        <is>
          <t>Người chơi bấm Xin hàng (Resign)</t>
        </is>
      </c>
      <c r="E19" s="38" t="inlineStr">
        <is>
          <t>Ván đấu đang diễn ra</t>
        </is>
      </c>
      <c r="F19" s="38" t="inlineStr">
        <is>
          <t>1. Bấm nút "Xin hàng"
2. Xác nhận hộp thoại "Bạn có chắc chắn muốn đầu hàng?"</t>
        </is>
      </c>
      <c r="G19" s="38" t="inlineStr">
        <is>
          <t>Hành động: Đầu hàng</t>
        </is>
      </c>
      <c r="H19" s="38" t="inlineStr">
        <is>
          <t>Ván cờ kết thúc ngay lập tức, đối phương được xử Thắng, người xin hàng bị xử Thua, cập nhật Elo tương ứng.</t>
        </is>
      </c>
      <c r="I19" s="23" t="inlineStr">
        <is>
          <t>HTTP 200 OK, server tiếp tục nhận nước cờ và đổi trạng thái về InProgress</t>
        </is>
      </c>
      <c r="J19" s="29" t="inlineStr">
        <is>
          <t>Fail</t>
        </is>
      </c>
      <c r="K19" s="24" t="inlineStr">
        <is>
          <t>High</t>
        </is>
      </c>
      <c r="L19" s="38" t="inlineStr">
        <is>
          <t>BUG_004</t>
        </is>
      </c>
    </row>
    <row r="20" ht="41.4" customFormat="1" customHeight="1" s="26">
      <c r="A20" s="19" t="n">
        <v>16</v>
      </c>
      <c r="B20" s="20" t="inlineStr">
        <is>
          <t>TC_ONL_016</t>
        </is>
      </c>
      <c r="C20" s="38" t="inlineStr">
        <is>
          <t>Tái đấu</t>
        </is>
      </c>
      <c r="D20" s="38" t="inlineStr">
        <is>
          <t>Gửi yêu cầu Tái đấu (Rematch) sau khi kết thúc ván</t>
        </is>
      </c>
      <c r="E20" s="38" t="inlineStr">
        <is>
          <t>Ván cờ vừa kết thúc, hiển thị modal kết quả</t>
        </is>
      </c>
      <c r="F20" s="38" t="inlineStr">
        <is>
          <t>1. Bấm nút "Tái đấu"
2. Đối thủ chấp nhận tái đấu</t>
        </is>
      </c>
      <c r="G20" s="38" t="inlineStr">
        <is>
          <t>Nút Rematch</t>
        </is>
      </c>
      <c r="H20" s="38" t="inlineStr">
        <is>
          <t>Bàn cờ tự động reset về ván mới, đổi bên Đỏ/Đen cho 2 người chơi để công bằng.</t>
        </is>
      </c>
      <c r="I20" s="23" t="inlineStr">
        <is>
          <t>HTTP 200 OK, server tự động tạo ngay ván mới và ép cả 2 người chơi vào trận</t>
        </is>
      </c>
      <c r="J20" s="63" t="inlineStr">
        <is>
          <t>Fail</t>
        </is>
      </c>
      <c r="K20" s="25" t="inlineStr">
        <is>
          <t>Medium</t>
        </is>
      </c>
      <c r="L20" s="38" t="inlineStr">
        <is>
          <t>BUG_012</t>
        </is>
      </c>
    </row>
    <row r="21" ht="41.4" customFormat="1" customHeight="1" s="26">
      <c r="A21" s="19" t="n">
        <v>17</v>
      </c>
      <c r="B21" s="20" t="inlineStr">
        <is>
          <t>TC_ONL_017</t>
        </is>
      </c>
      <c r="C21" s="38" t="inlineStr">
        <is>
          <t>Khán giả</t>
        </is>
      </c>
      <c r="D21" s="38" t="inlineStr">
        <is>
          <t>Chế độ Khán giả (Spectator) xem ván đấu trực tiếp</t>
        </is>
      </c>
      <c r="E21" s="38" t="inlineStr">
        <is>
          <t>Trận đấu giữa Player A và Player B đang diễn ra</t>
        </is>
      </c>
      <c r="F21" s="38" t="inlineStr">
        <is>
          <t>1. Người thứ 3 bấm "Xem trận"
2. Quan sát bàn cờ</t>
        </is>
      </c>
      <c r="G21" s="38" t="inlineStr">
        <is>
          <t>Role: Khán giả</t>
        </is>
      </c>
      <c r="H21" s="38" t="inlineStr">
        <is>
          <t>Xem được toàn bộ nước đi realtime, không có các nút di chuyển quân cờ, không can thiệp được ván đấu.</t>
        </is>
      </c>
      <c r="I21" s="23" t="inlineStr">
        <is>
          <t>Chế độ Khán giả xem được toàn bộ nước đi realtime nhưng không có các nút can thiệp ván đấu.</t>
        </is>
      </c>
      <c r="J21" s="28" t="inlineStr">
        <is>
          <t>Pass</t>
        </is>
      </c>
      <c r="K21" s="25" t="inlineStr">
        <is>
          <t>Medium</t>
        </is>
      </c>
      <c r="L21" s="38" t="n"/>
    </row>
    <row r="22" ht="41.4" customFormat="1" customHeight="1" s="26">
      <c r="A22" s="19" t="n">
        <v>18</v>
      </c>
      <c r="B22" s="20" t="inlineStr">
        <is>
          <t>TC_ONL_018</t>
        </is>
      </c>
      <c r="C22" s="38" t="inlineStr">
        <is>
          <t>Mất kết nối</t>
        </is>
      </c>
      <c r="D22" s="38" t="inlineStr">
        <is>
          <t>Người chơi bị rớt mạng Internet đột ngột</t>
        </is>
      </c>
      <c r="E22" s="38" t="inlineStr">
        <is>
          <t>Ván cờ đang chơi, người chơi A bị ngắt mạng Wifi</t>
        </is>
      </c>
      <c r="F22" s="38" t="inlineStr">
        <is>
          <t>1. Rút mạng hoặc tắt Wifi trên máy A
2. Kiểm tra màn hình máy B</t>
        </is>
      </c>
      <c r="G22" s="38" t="inlineStr">
        <is>
          <t>Ngắt mạng đột ngột</t>
        </is>
      </c>
      <c r="H22" s="38" t="inlineStr">
        <is>
          <t>Máy B nhận thông báo: "Đối thủ tạm thời mất kết nối. Đang chờ kết nối lại... (60s)".</t>
        </is>
      </c>
      <c r="I22" s="23" t="inlineStr">
        <is>
          <t>Phát hiện mất kết nối đột ngột: Hiển thị thông báo đếm ngược 60 giây chờ kết nối lại.</t>
        </is>
      </c>
      <c r="J22" s="28" t="inlineStr">
        <is>
          <t>Pass</t>
        </is>
      </c>
      <c r="K22" s="24" t="inlineStr">
        <is>
          <t>High</t>
        </is>
      </c>
      <c r="L22" s="38" t="n"/>
    </row>
    <row r="23" ht="41.4" customFormat="1" customHeight="1" s="26">
      <c r="A23" s="19" t="n">
        <v>19</v>
      </c>
      <c r="B23" s="20" t="inlineStr">
        <is>
          <t>TC_ONL_019</t>
        </is>
      </c>
      <c r="C23" s="38" t="inlineStr">
        <is>
          <t>Kết nối lại</t>
        </is>
      </c>
      <c r="D23" s="38" t="inlineStr">
        <is>
          <t>Cơ chế Tự động kết nối lại (Reconnect) thành công</t>
        </is>
      </c>
      <c r="E23" s="38" t="inlineStr">
        <is>
          <t>Máy A có mạng trở lại trong vòng 30 giây</t>
        </is>
      </c>
      <c r="F23" s="38" t="inlineStr">
        <is>
          <t>1. Bật lại mạng trên máy A
2. Quan sát ứng dụng</t>
        </is>
      </c>
      <c r="G23" s="38" t="inlineStr">
        <is>
          <t>Bật lại Wifi</t>
        </is>
      </c>
      <c r="H23" s="38" t="inlineStr">
        <is>
          <t>SignalR tự động kết nối lại vào đúng phòng chơi, khôi phục lại nguyên vẹn thế cờ và đồng hồ đếm ngược.</t>
        </is>
      </c>
      <c r="I23" s="23" t="inlineStr">
        <is>
          <t>Cơ chế Reconnect tự động khôi phục đúng phòng chơi, thế cờ và đồng hồ khi có mạng trở lại.</t>
        </is>
      </c>
      <c r="J23" s="28" t="inlineStr">
        <is>
          <t>Pass</t>
        </is>
      </c>
      <c r="K23" s="24" t="inlineStr">
        <is>
          <t>High</t>
        </is>
      </c>
      <c r="L23" s="38" t="n"/>
    </row>
    <row r="24" ht="41.4" customFormat="1" customHeight="1" s="26">
      <c r="A24" s="19" t="n">
        <v>20</v>
      </c>
      <c r="B24" s="20" t="inlineStr">
        <is>
          <t>TC_ONL_020</t>
        </is>
      </c>
      <c r="C24" s="38" t="inlineStr">
        <is>
          <t>Bỏ cuộc</t>
        </is>
      </c>
      <c r="D24" s="38" t="inlineStr">
        <is>
          <t>Đối thủ ngắt kết nối quá thời gian chờ (Tự động xử thua)</t>
        </is>
      </c>
      <c r="E24" s="38" t="inlineStr">
        <is>
          <t>Người chơi A rớt mạng và không quay lại sau 60 giây</t>
        </is>
      </c>
      <c r="F24" s="38" t="inlineStr">
        <is>
          <t>1. Đợi hết 60 giây đếm ngược mất kết nối
2. Kiểm tra kết quả</t>
        </is>
      </c>
      <c r="G24" s="38" t="inlineStr">
        <is>
          <t>Timeout disconnect: 60s</t>
        </is>
      </c>
      <c r="H24" s="38" t="inlineStr">
        <is>
          <t>Hệ thống tự động xử Người chơi B thắng do đối thủ bỏ cuộc (Abandonment).</t>
        </is>
      </c>
      <c r="I24" s="23" t="inlineStr">
        <is>
          <t>Quá 60 giây mất kết nối: Hệ thống tự động xử đối thủ thắng do người chơi bỏ cuộc (Abandonment).</t>
        </is>
      </c>
      <c r="J24" s="28" t="inlineStr">
        <is>
          <t>Pass</t>
        </is>
      </c>
      <c r="K24" s="24" t="inlineStr">
        <is>
          <t>High</t>
        </is>
      </c>
      <c r="L24" s="38" t="n"/>
    </row>
  </sheetData>
  <mergeCells count="2">
    <mergeCell ref="A2:L2"/>
    <mergeCell ref="A1:L1"/>
  </mergeCells>
  <dataValidations count="1">
    <dataValidation sqref="J5:J24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topLeftCell="A13" workbookViewId="0">
      <selection activeCell="D5" sqref="D5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HỆ THỐNG CỜ THẾ (PUZZLE CHALLENGE &amp; TIMERUSH)</t>
        </is>
      </c>
    </row>
    <row r="2" ht="18" customHeight="1" s="34">
      <c r="A2" s="61" t="inlineStr">
        <is>
          <t>Kiểm tra Thử thách 5 cấp độ, Timerush 3p/5p/Sinh tồn, Tạo đề tùy chỉnh Elo/Mate, Bản đồ vượt ải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55.2" customFormat="1" customHeight="1" s="26">
      <c r="A5" s="19" t="n">
        <v>1</v>
      </c>
      <c r="B5" s="20" t="inlineStr">
        <is>
          <t>TC_PUZ_001</t>
        </is>
      </c>
      <c r="C5" s="38" t="inlineStr">
        <is>
          <t>Hub Cờ thế</t>
        </is>
      </c>
      <c r="D5" s="38" t="inlineStr">
        <is>
          <t>Hiển thị đầy đủ 4 chế độ chơi trên Hub Cờ Thế</t>
        </is>
      </c>
      <c r="E5" s="38" t="inlineStr">
        <is>
          <t>Truy cập vào menu Cờ Thế (/Puzzle)</t>
        </is>
      </c>
      <c r="F5" s="38" t="inlineStr">
        <is>
          <t>1. Mở trang Cờ Thế
2. Kiểm tra 4 chế độ</t>
        </is>
      </c>
      <c r="G5" s="38" t="inlineStr">
        <is>
          <t>Hub Cờ Thế</t>
        </is>
      </c>
      <c r="H5" s="38" t="inlineStr">
        <is>
          <t>Hiển thị chuẩn xác 4 thẻ: 1. Thử thách cấp độ, 2. Giải đề tính giờ (Timerush), 3. Tạo đề tùy chỉnh, 4. Lịch sử giải đề.</t>
        </is>
      </c>
      <c r="I5" s="23" t="inlineStr">
        <is>
          <t>Hub Cờ Thế hiển thị đầy đủ 4 thẻ chế độ: Thử thách cấp độ, Timerush, Tạo đề tùy chỉnh, Lịch sử giải đề.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41.4" customFormat="1" customHeight="1" s="26">
      <c r="A6" s="19" t="n">
        <v>2</v>
      </c>
      <c r="B6" s="20" t="inlineStr">
        <is>
          <t>TC_PUZ_002</t>
        </is>
      </c>
      <c r="C6" s="38" t="inlineStr">
        <is>
          <t>Thử thách</t>
        </is>
      </c>
      <c r="D6" s="38" t="inlineStr">
        <is>
          <t>Xem danh sách bài cờ thế phân theo 5 cấp độ</t>
        </is>
      </c>
      <c r="E6" s="38" t="inlineStr">
        <is>
          <t>Chọn chế độ "Thử thách"</t>
        </is>
      </c>
      <c r="F6" s="38" t="inlineStr">
        <is>
          <t>1. Vào danh sách cấp độ
2. Kiểm tra Cấp 1 đến Cấp 5</t>
        </is>
      </c>
      <c r="G6" s="38" t="inlineStr">
        <is>
          <t>Cấp 1 -&gt; Cấp 5</t>
        </is>
      </c>
      <c r="H6" s="38" t="inlineStr">
        <is>
          <t>Hiển thị danh sách bài tập kèm số sao đạt được, quy tắc yêu cầu (ví dụ: Chiếu bí trong 2 nước).</t>
        </is>
      </c>
      <c r="I6" s="23" t="inlineStr">
        <is>
          <t>Danh sách bài cờ thế phân theo 5 cấp độ khó từ Cấp 1 đến Cấp 5 kèm số sao đạt được.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41.4" customFormat="1" customHeight="1" s="26">
      <c r="A7" s="19" t="n">
        <v>3</v>
      </c>
      <c r="B7" s="20" t="inlineStr">
        <is>
          <t>TC_PUZ_003</t>
        </is>
      </c>
      <c r="C7" s="38" t="inlineStr">
        <is>
          <t>Thử thách</t>
        </is>
      </c>
      <c r="D7" s="38" t="inlineStr">
        <is>
          <t>Mở một bài cờ thế cụ thể để giải</t>
        </is>
      </c>
      <c r="E7" s="38" t="inlineStr">
        <is>
          <t>Chọn bài cờ "Khởi Mã Phá Trận"</t>
        </is>
      </c>
      <c r="F7" s="38" t="inlineStr">
        <is>
          <t>1. Bấm vào bài cờ
2. Quan sát bàn cờ</t>
        </is>
      </c>
      <c r="G7" s="38" t="inlineStr">
        <is>
          <t>Bài cờ #basic:23</t>
        </is>
      </c>
      <c r="H7" s="38" t="inlineStr">
        <is>
          <t>Bàn cờ tải đúng thế cờ tàn, hiển thị tiêu đề, số nước quy định và lượt đi của bên Đỏ.</t>
        </is>
      </c>
      <c r="I7" s="23" t="inlineStr">
        <is>
          <t>Mở bài cờ thế tải đúng thế cờ tàn, tiêu đề, số nước quy định và lượt đi của bên Đỏ.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41.4" customFormat="1" customHeight="1" s="26">
      <c r="A8" s="19" t="n">
        <v>4</v>
      </c>
      <c r="B8" s="20" t="inlineStr">
        <is>
          <t>TC_PUZ_004</t>
        </is>
      </c>
      <c r="C8" s="38" t="inlineStr">
        <is>
          <t>Thử thách</t>
        </is>
      </c>
      <c r="D8" s="38" t="inlineStr">
        <is>
          <t>Người chơi đi nước cờ ĐÚNG theo đáp án thế cờ</t>
        </is>
      </c>
      <c r="E8" s="38" t="inlineStr">
        <is>
          <t>Đang trong bài cờ thế</t>
        </is>
      </c>
      <c r="F8" s="38" t="inlineStr">
        <is>
          <t>1. Đi nước cờ đúng chiến thuật đầu tiên
2. Quan sát phản hồi của Máy</t>
        </is>
      </c>
      <c r="G8" s="38" t="inlineStr">
        <is>
          <t>Nước đi chính xác</t>
        </is>
      </c>
      <c r="H8" s="38" t="inlineStr">
        <is>
          <t>Hệ thống xác nhận nước đi đúng, Máy AI tự động đi nước cờ chống đỡ theo kịch bản thế cờ.</t>
        </is>
      </c>
      <c r="I8" s="23" t="inlineStr">
        <is>
          <t>Đi nước cờ ĐÚNG theo đáp án: Hệ thống xác nhận và Máy AI đi nước cờ chống đỡ theo kịch bản.</t>
        </is>
      </c>
      <c r="J8" s="28" t="inlineStr">
        <is>
          <t>Pass</t>
        </is>
      </c>
      <c r="K8" s="24" t="inlineStr">
        <is>
          <t>High</t>
        </is>
      </c>
      <c r="L8" s="38" t="n"/>
    </row>
    <row r="9" ht="55.2" customFormat="1" customHeight="1" s="26">
      <c r="A9" s="19" t="n">
        <v>5</v>
      </c>
      <c r="B9" s="20" t="inlineStr">
        <is>
          <t>TC_PUZ_005</t>
        </is>
      </c>
      <c r="C9" s="38" t="inlineStr">
        <is>
          <t>Thử thách</t>
        </is>
      </c>
      <c r="D9" s="38" t="inlineStr">
        <is>
          <t>Hoàn thành bài cờ thế và nhận đánh giá 3 sao</t>
        </is>
      </c>
      <c r="E9" s="38" t="inlineStr">
        <is>
          <t>Đến nước đi chiếu bí cuối cùng</t>
        </is>
      </c>
      <c r="F9" s="38" t="inlineStr">
        <is>
          <t>1. Đi nước cờ sát cục cuối cùng
2. Kiểm tra popup kết quả</t>
        </is>
      </c>
      <c r="G9" s="38" t="inlineStr">
        <is>
          <t>Hoàn thành bài cờ</t>
        </is>
      </c>
      <c r="H9" s="38" t="inlineStr">
        <is>
          <t>Hiển thị bảng vinh danh "Thành công!", đạt 3 sao ⭐⭐⭐, cộng điểm tích lũy và mở khóa bài tiếp theo.</t>
        </is>
      </c>
      <c r="I9" s="23" t="inlineStr">
        <is>
          <t>Hoàn thành bài cờ: Hiển thị popup vinh danh đạt 3 sao ⭐⭐⭐, cộng điểm và mở khóa bài tiếp theo.</t>
        </is>
      </c>
      <c r="J9" s="28" t="inlineStr">
        <is>
          <t>Pass</t>
        </is>
      </c>
      <c r="K9" s="24" t="inlineStr">
        <is>
          <t>High</t>
        </is>
      </c>
      <c r="L9" s="38" t="n"/>
    </row>
    <row r="10" ht="41.4" customFormat="1" customHeight="1" s="26">
      <c r="A10" s="19" t="n">
        <v>6</v>
      </c>
      <c r="B10" s="20" t="inlineStr">
        <is>
          <t>TC_PUZ_006</t>
        </is>
      </c>
      <c r="C10" s="38" t="inlineStr">
        <is>
          <t>Thử thách</t>
        </is>
      </c>
      <c r="D10" s="38" t="inlineStr">
        <is>
          <t>Người chơi đi nước cờ SAI so với đáp án</t>
        </is>
      </c>
      <c r="E10" s="38" t="inlineStr">
        <is>
          <t>Đang trong bài cờ thế</t>
        </is>
      </c>
      <c r="F10" s="38" t="inlineStr">
        <is>
          <t>1. Cố ý đi nước cờ sai không tối ưu
2. Quan sát thông báo</t>
        </is>
      </c>
      <c r="G10" s="38" t="inlineStr">
        <is>
          <t>Nước đi sai</t>
        </is>
      </c>
      <c r="H10" s="38" t="inlineStr">
        <is>
          <t>Hiển thị thông báo màu đỏ: "Nước đi chưa chính xác. Hãy suy nghĩ thêm!", tự động hoàn tác nước cờ vừa đi.</t>
        </is>
      </c>
      <c r="I10" s="23" t="inlineStr">
        <is>
          <t>Đi nước cờ SAI: Báo lỗi màu đỏ và tự động hoàn tác nước cờ vừa đi về vị trí cũ.</t>
        </is>
      </c>
      <c r="J10" s="28" t="inlineStr">
        <is>
          <t>Pass</t>
        </is>
      </c>
      <c r="K10" s="24" t="inlineStr">
        <is>
          <t>High</t>
        </is>
      </c>
      <c r="L10" s="38" t="n"/>
    </row>
    <row r="11" ht="27.6" customFormat="1" customHeight="1" s="26">
      <c r="A11" s="19" t="n">
        <v>7</v>
      </c>
      <c r="B11" s="20" t="inlineStr">
        <is>
          <t>TC_PUZ_007</t>
        </is>
      </c>
      <c r="C11" s="38" t="inlineStr">
        <is>
          <t>Timerush</t>
        </is>
      </c>
      <c r="D11" s="38" t="inlineStr">
        <is>
          <t>Chế độ Giải đề tính giờ - Chọn Siêu tốc 3 phút</t>
        </is>
      </c>
      <c r="E11" s="38" t="inlineStr">
        <is>
          <t>Ở màn hình Giải đề tính thời gian</t>
        </is>
      </c>
      <c r="F11" s="38" t="inlineStr">
        <is>
          <t>1. Chọn thẻ "Siêu tốc 3 phút"
2. Bấm "Bắt đầu chạy đua"</t>
        </is>
      </c>
      <c r="G11" s="38" t="inlineStr">
        <is>
          <t>Chế độ 3 phút</t>
        </is>
      </c>
      <c r="H11" s="38" t="inlineStr">
        <is>
          <t>Bắt đầu đếm ngược từ 03:00, bài cờ đầu tiên xuất hiện ngay lập tức.</t>
        </is>
      </c>
      <c r="I11" s="23" t="inlineStr">
        <is>
          <t>Chế độ Siêu tốc 3 phút: Đồng hồ đếm ngược từ 03:00 và xuất hiện bài cờ đầu tiên ngay lập tức.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41.4" customFormat="1" customHeight="1" s="26">
      <c r="A12" s="19" t="n">
        <v>8</v>
      </c>
      <c r="B12" s="20" t="inlineStr">
        <is>
          <t>TC_PUZ_008</t>
        </is>
      </c>
      <c r="C12" s="38" t="inlineStr">
        <is>
          <t>Timerush</t>
        </is>
      </c>
      <c r="D12" s="38" t="inlineStr">
        <is>
          <t>Giải liên tục các bài cờ trong chế độ 3 phút</t>
        </is>
      </c>
      <c r="E12" s="38" t="inlineStr">
        <is>
          <t>Đang trong lượt chạy đua 3 phút</t>
        </is>
      </c>
      <c r="F12" s="38" t="inlineStr">
        <is>
          <t>1. Giải đúng bài 1 -&gt; Chuyển ngay bài 2
2. Giải tiếp các bài tiếp theo</t>
        </is>
      </c>
      <c r="G12" s="38" t="inlineStr">
        <is>
          <t>Giải liên tiếp</t>
        </is>
      </c>
      <c r="H12" s="38" t="inlineStr">
        <is>
          <t>Điểm số (Score) tăng lên sau mỗi bài giải đúng, đồng hồ tiếp tục đếm ngược không dừng.</t>
        </is>
      </c>
      <c r="I12" s="23" t="inlineStr">
        <is>
          <t>Giải liên tục các bài trong Timerush: Điểm số tăng dần sau mỗi bài giải đúng, đồng hồ không dừng.</t>
        </is>
      </c>
      <c r="J12" s="28" t="inlineStr">
        <is>
          <t>Pass</t>
        </is>
      </c>
      <c r="K12" s="24" t="inlineStr">
        <is>
          <t>High</t>
        </is>
      </c>
      <c r="L12" s="38" t="n"/>
    </row>
    <row r="13" ht="41.4" customFormat="1" customHeight="1" s="26">
      <c r="A13" s="19" t="n">
        <v>9</v>
      </c>
      <c r="B13" s="20" t="inlineStr">
        <is>
          <t>TC_PUZ_009</t>
        </is>
      </c>
      <c r="C13" s="38" t="inlineStr">
        <is>
          <t>Timerush</t>
        </is>
      </c>
      <c r="D13" s="38" t="inlineStr">
        <is>
          <t>Kết thúc thời gian 3 phút và vinh danh kết quả</t>
        </is>
      </c>
      <c r="E13" s="38" t="inlineStr">
        <is>
          <t>Đồng hồ đếm ngược về 00:00</t>
        </is>
      </c>
      <c r="F13" s="38" t="inlineStr">
        <is>
          <t>1. Để đồng hồ chạy hết 3 phút
2. Kiểm tra màn hình tổng kết</t>
        </is>
      </c>
      <c r="G13" s="38" t="inlineStr">
        <is>
          <t>Hết giờ (00:00)</t>
        </is>
      </c>
      <c r="H13" s="38" t="inlineStr">
        <is>
          <t>Dừng lượt chơi ngay lập tức, hiển thị tổng số bài giải đúng, kỷ lục cá nhân (High Score) và điểm thưởng.</t>
        </is>
      </c>
      <c r="I13" s="23" t="inlineStr">
        <is>
          <t>Hết giờ 3 phút: Dừng lượt chơi, hiển thị tổng số bài giải đúng, kỷ lục High Score và điểm thưởng.</t>
        </is>
      </c>
      <c r="J13" s="28" t="inlineStr">
        <is>
          <t>Pass</t>
        </is>
      </c>
      <c r="K13" s="24" t="inlineStr">
        <is>
          <t>High</t>
        </is>
      </c>
      <c r="L13" s="38" t="n"/>
    </row>
    <row r="14" ht="55.2" customFormat="1" customHeight="1" s="26">
      <c r="A14" s="19" t="n">
        <v>10</v>
      </c>
      <c r="B14" s="20" t="inlineStr">
        <is>
          <t>TC_PUZ_010</t>
        </is>
      </c>
      <c r="C14" s="38" t="inlineStr">
        <is>
          <t>Timerush</t>
        </is>
      </c>
      <c r="D14" s="38" t="inlineStr">
        <is>
          <t>Chế độ Sinh tồn (Survival) - Giới hạn 3 mạng</t>
        </is>
      </c>
      <c r="E14" s="38" t="inlineStr">
        <is>
          <t>Chọn chế độ "Sinh tồn"</t>
        </is>
      </c>
      <c r="F14" s="38" t="inlineStr">
        <is>
          <t>1. Bắt đầu chơi
2. Đi sai lần 1 -&gt; Mất 1 tim
3. Đi sai lần 2 -&gt; Mất 2 tim
4. Đi sai lần 3 -&gt; Hết tim</t>
        </is>
      </c>
      <c r="G14" s="38" t="inlineStr">
        <is>
          <t>Sai 3 lần</t>
        </is>
      </c>
      <c r="H14" s="38" t="inlineStr">
        <is>
          <t>Sau 3 lần đi sai, lượt chơi kết thúc ngay lập tức dù chưa hết thời gian. Hiển thị số bài đã giải thành công.</t>
        </is>
      </c>
      <c r="I14" s="23" t="inlineStr">
        <is>
          <t>Chế độ Sinh tồn (Survival): Giới hạn 3 mạng, đi sai 3 lần kết thúc lượt chơi dù chưa hết thời gian.</t>
        </is>
      </c>
      <c r="J14" s="28" t="inlineStr">
        <is>
          <t>Pass</t>
        </is>
      </c>
      <c r="K14" s="24" t="inlineStr">
        <is>
          <t>High</t>
        </is>
      </c>
      <c r="L14" s="38" t="n"/>
    </row>
    <row r="15" ht="41.4" customFormat="1" customHeight="1" s="26">
      <c r="A15" s="19" t="n">
        <v>11</v>
      </c>
      <c r="B15" s="20" t="inlineStr">
        <is>
          <t>TC_PUZ_011</t>
        </is>
      </c>
      <c r="C15" s="38" t="inlineStr">
        <is>
          <t>Tùy chỉnh</t>
        </is>
      </c>
      <c r="D15" s="38" t="inlineStr">
        <is>
          <t>Tạo đề tùy chỉnh - Lọc theo dải điểm Elo</t>
        </is>
      </c>
      <c r="E15" s="38" t="inlineStr">
        <is>
          <t>Mở trang Tạo đề bài tùy chỉnh</t>
        </is>
      </c>
      <c r="F15" s="38" t="inlineStr">
        <is>
          <t>1. Kéo thanh trượt Elo chọn mức "Trung cấp (1400)"
2. Bấm "Tìm kiếm đề bài"</t>
        </is>
      </c>
      <c r="G15" s="38" t="inlineStr">
        <is>
          <t>Elo: 1400</t>
        </is>
      </c>
      <c r="H15" s="38" t="inlineStr">
        <is>
          <t>Danh sách trả về các bài cờ thế có độ khó tương đương Elo 1400.</t>
        </is>
      </c>
      <c r="I15" s="23" t="inlineStr">
        <is>
          <t>Tạo đề tùy chỉnh lọc theo dải điểm Elo (mức 1400) trả về danh sách bài có độ khó tương đương.</t>
        </is>
      </c>
      <c r="J15" s="28" t="inlineStr">
        <is>
          <t>Pass</t>
        </is>
      </c>
      <c r="K15" s="25" t="inlineStr">
        <is>
          <t>Medium</t>
        </is>
      </c>
      <c r="L15" s="38" t="n"/>
    </row>
    <row r="16" ht="41.4" customFormat="1" customHeight="1" s="26">
      <c r="A16" s="19" t="n">
        <v>12</v>
      </c>
      <c r="B16" s="20" t="inlineStr">
        <is>
          <t>TC_PUZ_012</t>
        </is>
      </c>
      <c r="C16" s="38" t="inlineStr">
        <is>
          <t>Tùy chỉnh</t>
        </is>
      </c>
      <c r="D16" s="38" t="inlineStr">
        <is>
          <t>Tạo đề tùy chỉnh - Lọc theo Loại thế cờ</t>
        </is>
      </c>
      <c r="E16" s="38" t="inlineStr">
        <is>
          <t>Trang Tạo đề tùy chỉnh</t>
        </is>
      </c>
      <c r="F16" s="38" t="inlineStr">
        <is>
          <t>1. Chọn radio button "Tàn cuộc (&lt;= 6 quân)"
2. Bấm tìm kiếm</t>
        </is>
      </c>
      <c r="G16" s="38" t="inlineStr">
        <is>
          <t>Loại: Tàn cuộc</t>
        </is>
      </c>
      <c r="H16" s="38" t="inlineStr">
        <is>
          <t>Tất cả bài cờ hiển thị đều là cờ tàn với tổng số quân cờ trên bàn &lt;= 6 quân.</t>
        </is>
      </c>
      <c r="I16" s="23" t="inlineStr">
        <is>
          <t>Tạo đề tùy chỉnh lọc theo loại Tàn cuộc (&lt;= 6 quân) hiển thị chính xác các bài cờ thế tàn cục.</t>
        </is>
      </c>
      <c r="J16" s="28" t="inlineStr">
        <is>
          <t>Pass</t>
        </is>
      </c>
      <c r="K16" s="25" t="inlineStr">
        <is>
          <t>Medium</t>
        </is>
      </c>
      <c r="L16" s="38" t="n"/>
    </row>
    <row r="17" ht="27.6" customFormat="1" customHeight="1" s="26">
      <c r="A17" s="19" t="n">
        <v>13</v>
      </c>
      <c r="B17" s="20" t="inlineStr">
        <is>
          <t>TC_PUZ_013</t>
        </is>
      </c>
      <c r="C17" s="38" t="inlineStr">
        <is>
          <t>Tùy chỉnh</t>
        </is>
      </c>
      <c r="D17" s="38" t="inlineStr">
        <is>
          <t>Tạo đề tùy chỉnh - Lọc theo Số nước chiếu sát (Mate in)</t>
        </is>
      </c>
      <c r="E17" s="38" t="inlineStr">
        <is>
          <t>Trang Tạo đề tùy chỉnh</t>
        </is>
      </c>
      <c r="F17" s="38" t="inlineStr">
        <is>
          <t>1. Chọn pill "1 Nước" (Mate in 1)
2. Bấm tìm kiếm</t>
        </is>
      </c>
      <c r="G17" s="38" t="inlineStr">
        <is>
          <t>Mate in 1</t>
        </is>
      </c>
      <c r="H17" s="38" t="inlineStr">
        <is>
          <t>Danh sách trả về các bài sát chiêu chỉ cần đúng 1 nước đi là chiếu bí.</t>
        </is>
      </c>
      <c r="I17" s="23" t="inlineStr">
        <is>
          <t>Tạo đề tùy chỉnh lọc theo Mate in 1 hiển thị các bài sát cục 1 nước đi chiếu bí.</t>
        </is>
      </c>
      <c r="J17" s="28" t="inlineStr">
        <is>
          <t>Pass</t>
        </is>
      </c>
      <c r="K17" s="25" t="inlineStr">
        <is>
          <t>Medium</t>
        </is>
      </c>
      <c r="L17" s="38" t="n"/>
    </row>
    <row r="18" ht="41.4" customFormat="1" customHeight="1" s="26">
      <c r="A18" s="19" t="n">
        <v>14</v>
      </c>
      <c r="B18" s="20" t="inlineStr">
        <is>
          <t>TC_PUZ_014</t>
        </is>
      </c>
      <c r="C18" s="38" t="inlineStr">
        <is>
          <t>Lịch sử giải</t>
        </is>
      </c>
      <c r="D18" s="38" t="inlineStr">
        <is>
          <t>Xem lại lịch sử các bài cờ thế đã giải</t>
        </is>
      </c>
      <c r="E18" s="38" t="inlineStr">
        <is>
          <t>Người chơi đã giải thành công một số bài cờ</t>
        </is>
      </c>
      <c r="F18" s="38" t="inlineStr">
        <is>
          <t>1. Chọn mục "Lịch sử giải đề"
2. Kiểm tra danh sách</t>
        </is>
      </c>
      <c r="G18" s="38" t="inlineStr">
        <is>
          <t>Lịch sử giải</t>
        </is>
      </c>
      <c r="H18" s="38" t="inlineStr">
        <is>
          <t>Hiển thị danh sách các bài đã chơi kèm ngày giờ, kết quả thành công/thất bại và thời gian giải.</t>
        </is>
      </c>
      <c r="I18" s="23" t="inlineStr">
        <is>
          <t>Lịch sử giải đề lưu trữ đầy đủ ngày giờ, kết quả thành công/thất bại và thời gian giải.</t>
        </is>
      </c>
      <c r="J18" s="28" t="inlineStr">
        <is>
          <t>Pass</t>
        </is>
      </c>
      <c r="K18" s="25" t="inlineStr">
        <is>
          <t>Medium</t>
        </is>
      </c>
      <c r="L18" s="38" t="n"/>
    </row>
    <row r="19" ht="41.4" customFormat="1" customHeight="1" s="26">
      <c r="A19" s="19" t="n">
        <v>15</v>
      </c>
      <c r="B19" s="20" t="inlineStr">
        <is>
          <t>TC_PUZ_015</t>
        </is>
      </c>
      <c r="C19" s="38" t="inlineStr">
        <is>
          <t>Bản đồ vượt ải</t>
        </is>
      </c>
      <c r="D19" s="38" t="inlineStr">
        <is>
          <t>Bản đồ vượt ải (Saga Map) - Khóa các ải chưa đạt</t>
        </is>
      </c>
      <c r="E19" s="38" t="inlineStr">
        <is>
          <t>Người chơi mới chỉ mở khóa Ải 1</t>
        </is>
      </c>
      <c r="F19" s="38" t="inlineStr">
        <is>
          <t>1. Mở màn hình Bản đồ vượt ải
2. Kiểm tra Ải 1 và các Ải từ 2 đến 10</t>
        </is>
      </c>
      <c r="G19" s="38" t="inlineStr">
        <is>
          <t>Bản đồ 10 ải</t>
        </is>
      </c>
      <c r="H19" s="38" t="inlineStr">
        <is>
          <t>Ải 1 sáng rõ hiển thị "Đang đấu". Các Ải 2 đến 10 có icon ổ khóa và màu tối. Đường nối không bị highlight sớm.</t>
        </is>
      </c>
      <c r="I19" s="23" t="inlineStr">
        <is>
          <t>Bản đồ vượt ải (Saga Map): Ải 1 mở sáng, các Ải 2 đến 10 có icon ổ khóa và màu tối theo đúng tiến trình.</t>
        </is>
      </c>
      <c r="J19" s="28" t="inlineStr">
        <is>
          <t>Pass</t>
        </is>
      </c>
      <c r="K19" s="24" t="inlineStr">
        <is>
          <t>High</t>
        </is>
      </c>
      <c r="L19" s="38" t="n"/>
    </row>
    <row r="20" ht="41.4" customFormat="1" customHeight="1" s="26">
      <c r="A20" s="19" t="n">
        <v>16</v>
      </c>
      <c r="B20" s="20" t="inlineStr">
        <is>
          <t>TC_PUZ_016</t>
        </is>
      </c>
      <c r="C20" s="38" t="inlineStr">
        <is>
          <t>Bản đồ vượt ải</t>
        </is>
      </c>
      <c r="D20" s="38" t="inlineStr">
        <is>
          <t>Nhận thưởng Rương Bạc và Rương Vàng khi đạt mốc ải</t>
        </is>
      </c>
      <c r="E20" s="38" t="inlineStr">
        <is>
          <t>Người chơi vượt qua Ải 4</t>
        </is>
      </c>
      <c r="F20" s="38" t="inlineStr">
        <is>
          <t>1. Hoàn thành Ải 4
2. Kiểm tra Rương Bạc trên bản đồ
3. Bấm vào rương nhận thưởng</t>
        </is>
      </c>
      <c r="G20" s="38" t="inlineStr">
        <is>
          <t>Mốc ải 4</t>
        </is>
      </c>
      <c r="H20" s="38" t="inlineStr">
        <is>
          <t>Rương Bạc mở khóa, hiển thị hiệu ứng nhận thưởng +3 Tim và +2 Gợi ý.</t>
        </is>
      </c>
      <c r="I20" s="23" t="inlineStr">
        <is>
          <t>Mốc ải 4: Mở khóa Rương Bạc nhận thưởng +3 Tim và +2 Gợi ý thành công.</t>
        </is>
      </c>
      <c r="J20" s="28" t="inlineStr">
        <is>
          <t>Pass</t>
        </is>
      </c>
      <c r="K20" s="25" t="inlineStr">
        <is>
          <t>Medium</t>
        </is>
      </c>
      <c r="L20" s="38" t="n"/>
    </row>
  </sheetData>
  <mergeCells count="2">
    <mergeCell ref="A2:L2"/>
    <mergeCell ref="A1:L1"/>
  </mergeCells>
  <dataValidations count="1">
    <dataValidation sqref="J5:J20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D8" sqref="D8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HỌC VIỆN &amp; KỲ PHỔ DANH THỦ (COURSE ACADEMY &amp; MASTER GAMES)</t>
        </is>
      </c>
    </row>
    <row r="2" ht="18" customHeight="1" s="34">
      <c r="A2" s="61" t="inlineStr">
        <is>
          <t>Kiểm tra Khóa học lý thuyết, Quiz trắc nghiệm, Lưu tiến độ API, Chứng chỉ, Trình phát ván cờ danh thủ</t>
        </is>
      </c>
    </row>
    <row r="4" ht="25.95" customHeight="1" s="34">
      <c r="A4" s="9" t="inlineStr">
        <is>
          <t>STT</t>
        </is>
      </c>
      <c r="B4" s="9" t="inlineStr">
        <is>
          <t>Mã Test Case</t>
        </is>
      </c>
      <c r="C4" s="9" t="inlineStr">
        <is>
          <t>Phân hệ / Chức năng</t>
        </is>
      </c>
      <c r="D4" s="9" t="inlineStr">
        <is>
          <t>Mục tiêu kiểm thử (Scenario)</t>
        </is>
      </c>
      <c r="E4" s="9" t="inlineStr">
        <is>
          <t>Điều kiện tiên quyết (Pre-conditions)</t>
        </is>
      </c>
      <c r="F4" s="9" t="inlineStr">
        <is>
          <t>Các bước thực hiện (Test Steps)</t>
        </is>
      </c>
      <c r="G4" s="9" t="inlineStr">
        <is>
          <t>Dữ liệu kiểm thử (Test Data)</t>
        </is>
      </c>
      <c r="H4" s="9" t="inlineStr">
        <is>
          <t>Kết quả mong đợi (Expected Result)</t>
        </is>
      </c>
      <c r="I4" s="10" t="inlineStr">
        <is>
          <t>Kết quả thực tế (Actual Result)</t>
        </is>
      </c>
      <c r="J4" s="10" t="inlineStr">
        <is>
          <t>Trạng thái</t>
        </is>
      </c>
      <c r="K4" s="9" t="inlineStr">
        <is>
          <t>Ưu tiên</t>
        </is>
      </c>
      <c r="L4" s="9" t="inlineStr">
        <is>
          <t>Ghi chú / Bug ID</t>
        </is>
      </c>
    </row>
    <row r="5" ht="41.4" customFormat="1" customHeight="1" s="26">
      <c r="A5" s="19" t="n">
        <v>1</v>
      </c>
      <c r="B5" s="20" t="inlineStr">
        <is>
          <t>TC_COU_001</t>
        </is>
      </c>
      <c r="C5" s="38" t="inlineStr">
        <is>
          <t>Khóa học</t>
        </is>
      </c>
      <c r="D5" s="38" t="inlineStr">
        <is>
          <t>Hiển thị danh mục các khóa học tại Học Viện Cờ</t>
        </is>
      </c>
      <c r="E5" s="38" t="inlineStr">
        <is>
          <t>Truy cập vào menu Khóa học (/Course)</t>
        </is>
      </c>
      <c r="F5" s="38" t="inlineStr">
        <is>
          <t>1. Mở trang Khóa học
2. Kiểm tra các module</t>
        </is>
      </c>
      <c r="G5" s="38" t="inlineStr">
        <is>
          <t>Module: Nhập môn, Tàn cuộc, Sát pháp, Bố cục</t>
        </is>
      </c>
      <c r="H5" s="38" t="inlineStr">
        <is>
          <t>Hiển thị đầy đủ 4 module khóa học kèm ảnh bìa, số lượng bài học và mô tả tóm tắt.</t>
        </is>
      </c>
      <c r="I5" s="23" t="inlineStr">
        <is>
          <t>Học viện cờ hiển thị đầy đủ 4 module khóa học: Nhập môn, Tàn cuộc, Sát pháp, Bố cục.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41.4" customFormat="1" customHeight="1" s="26">
      <c r="A6" s="19" t="n">
        <v>2</v>
      </c>
      <c r="B6" s="20" t="inlineStr">
        <is>
          <t>TC_COU_002</t>
        </is>
      </c>
      <c r="C6" s="38" t="inlineStr">
        <is>
          <t>Khóa học</t>
        </is>
      </c>
      <c r="D6" s="38" t="inlineStr">
        <is>
          <t>Xem chi tiết danh sách bài giảng trong một khóa học</t>
        </is>
      </c>
      <c r="E6" s="38" t="inlineStr">
        <is>
          <t>Chọn khóa học "Nhập Môn Cờ Tướng"</t>
        </is>
      </c>
      <c r="F6" s="38" t="inlineStr">
        <is>
          <t>1. Bấm vào khóa học Nhập môn
2. Kiểm tra các bài giảng</t>
        </is>
      </c>
      <c r="G6" s="38" t="inlineStr">
        <is>
          <t>Khóa học Nhập môn</t>
        </is>
      </c>
      <c r="H6" s="38" t="inlineStr">
        <is>
          <t>Hiển thị danh sách các bài học: Luật 7 quân cờ, Cản chân mã, Cản mắt tượng, Thế trận pháo đầu,...</t>
        </is>
      </c>
      <c r="I6" s="23" t="inlineStr">
        <is>
          <t>Xem chi tiết khóa học hiển thị danh sách bài giảng bài bản theo thứ tự.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41.4" customFormat="1" customHeight="1" s="26">
      <c r="A7" s="19" t="n">
        <v>3</v>
      </c>
      <c r="B7" s="20" t="inlineStr">
        <is>
          <t>TC_COU_003</t>
        </is>
      </c>
      <c r="C7" s="38" t="inlineStr">
        <is>
          <t>Khóa học</t>
        </is>
      </c>
      <c r="D7" s="38" t="inlineStr">
        <is>
          <t>Xem nội dung bài giảng lý thuyết kèm bàn cờ tương tác</t>
        </is>
      </c>
      <c r="E7" s="38" t="inlineStr">
        <is>
          <t>Mở bài học "Quy tắc di chuyển quân Mã"</t>
        </is>
      </c>
      <c r="F7" s="38" t="inlineStr">
        <is>
          <t>1. Đọc nội dung lý thuyết
2. Quan sát bàn cờ minh họa bên cạnh</t>
        </is>
      </c>
      <c r="G7" s="38" t="inlineStr">
        <is>
          <t>Bài học quân Mã</t>
        </is>
      </c>
      <c r="H7" s="38" t="inlineStr">
        <is>
          <t>Bàn cờ minh họa hiển thị đúng vị trí quân Mã và các mũi tên chỉ hướng đi, cản chân mã.</t>
        </is>
      </c>
      <c r="I7" s="23" t="inlineStr">
        <is>
          <t>Nội dung bài giảng kèm bàn cờ minh họa tương tác hiển thị đúng vị trí quân và mũi tên chỉ dẫn.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41.4" customFormat="1" customHeight="1" s="26">
      <c r="A8" s="19" t="n">
        <v>4</v>
      </c>
      <c r="B8" s="20" t="inlineStr">
        <is>
          <t>TC_COU_004</t>
        </is>
      </c>
      <c r="C8" s="38" t="inlineStr">
        <is>
          <t>Khóa học</t>
        </is>
      </c>
      <c r="D8" s="38" t="inlineStr">
        <is>
          <t>Thao tác đi thử trên bàn cờ minh họa bài học</t>
        </is>
      </c>
      <c r="E8" s="38" t="inlineStr">
        <is>
          <t>Đang ở bài học tương tác</t>
        </is>
      </c>
      <c r="F8" s="38" t="inlineStr">
        <is>
          <t>1. Chạm vào quân cờ trên bàn cờ bài học
2. Thử đi nước cờ theo hướng dẫn</t>
        </is>
      </c>
      <c r="G8" s="38" t="inlineStr">
        <is>
          <t>Thao tác bàn cờ bài học</t>
        </is>
      </c>
      <c r="H8" s="38" t="inlineStr">
        <is>
          <t>Bàn cờ cho phép đi thử nghiệm nước cờ, có thông báo nhận xét nước đi đúng/sai.</t>
        </is>
      </c>
      <c r="I8" s="23" t="inlineStr">
        <is>
          <t>Bàn cờ bài học cho phép thao tác đi thử nghiệm và phản hồi đúng/sai trực quan.</t>
        </is>
      </c>
      <c r="J8" s="28" t="inlineStr">
        <is>
          <t>Pass</t>
        </is>
      </c>
      <c r="K8" s="25" t="inlineStr">
        <is>
          <t>Medium</t>
        </is>
      </c>
      <c r="L8" s="38" t="n"/>
    </row>
    <row r="9" ht="41.4" customFormat="1" customHeight="1" s="26">
      <c r="A9" s="19" t="n">
        <v>5</v>
      </c>
      <c r="B9" s="20" t="inlineStr">
        <is>
          <t>TC_COU_005</t>
        </is>
      </c>
      <c r="C9" s="38" t="inlineStr">
        <is>
          <t>Trắc nghiệm Quiz</t>
        </is>
      </c>
      <c r="D9" s="38" t="inlineStr">
        <is>
          <t>Làm bài kiểm tra trắc nghiệm cuối bài học</t>
        </is>
      </c>
      <c r="E9" s="38" t="inlineStr">
        <is>
          <t>Đọc xong phần lý thuyết bài học</t>
        </is>
      </c>
      <c r="F9" s="38" t="inlineStr">
        <is>
          <t>1. Bấm nút "Làm bài tập Quiz"
2. Đọc câu hỏi trắc nghiệm</t>
        </is>
      </c>
      <c r="G9" s="38" t="inlineStr">
        <is>
          <t>Câu hỏi Quiz</t>
        </is>
      </c>
      <c r="H9" s="38" t="inlineStr">
        <is>
          <t>Hiển thị câu hỏi kèm bàn cờ tình huống và 4 phương án lựa chọn A, B, C, D.</t>
        </is>
      </c>
      <c r="I9" s="23" t="inlineStr">
        <is>
          <t>Bài kiểm tra Quiz trắc nghiệm hiển thị câu hỏi tình huống kèm 4 phương án A, B, C, D.</t>
        </is>
      </c>
      <c r="J9" s="28" t="inlineStr">
        <is>
          <t>Pass</t>
        </is>
      </c>
      <c r="K9" s="24" t="inlineStr">
        <is>
          <t>High</t>
        </is>
      </c>
      <c r="L9" s="38" t="n"/>
    </row>
    <row r="10" ht="27.6" customFormat="1" customHeight="1" s="26">
      <c r="A10" s="19" t="n">
        <v>6</v>
      </c>
      <c r="B10" s="20" t="inlineStr">
        <is>
          <t>TC_COU_006</t>
        </is>
      </c>
      <c r="C10" s="38" t="inlineStr">
        <is>
          <t>Trắc nghiệm Quiz</t>
        </is>
      </c>
      <c r="D10" s="38" t="inlineStr">
        <is>
          <t>Chọn phương án trả lời ĐÚNG trong bài Quiz</t>
        </is>
      </c>
      <c r="E10" s="38" t="inlineStr">
        <is>
          <t>Đang ở câu hỏi trắc nghiệm</t>
        </is>
      </c>
      <c r="F10" s="38" t="inlineStr">
        <is>
          <t>1. Chọn đáp án chính xác
2. Bấm "Gửi câu trả lời"</t>
        </is>
      </c>
      <c r="G10" s="38" t="inlineStr">
        <is>
          <t>Đáp án đúng</t>
        </is>
      </c>
      <c r="H10" s="38" t="inlineStr">
        <is>
          <t>Hiển thị tích xanh ✔, có âm thanh chúc mừng, cộng điểm tiến độ bài học.</t>
        </is>
      </c>
      <c r="I10" s="23" t="inlineStr">
        <is>
          <t>HTTP 200 OK, trả về { isGuest: true, progress: {...} } trước khi kiểm tra tính tồn tại của bài học</t>
        </is>
      </c>
      <c r="J10" s="63" t="inlineStr">
        <is>
          <t>Fail</t>
        </is>
      </c>
      <c r="K10" s="24" t="inlineStr">
        <is>
          <t>High</t>
        </is>
      </c>
      <c r="L10" s="38" t="inlineStr">
        <is>
          <t>BUG_013</t>
        </is>
      </c>
    </row>
    <row r="11" ht="41.4" customFormat="1" customHeight="1" s="26">
      <c r="A11" s="19" t="n">
        <v>7</v>
      </c>
      <c r="B11" s="20" t="inlineStr">
        <is>
          <t>TC_COU_007</t>
        </is>
      </c>
      <c r="C11" s="38" t="inlineStr">
        <is>
          <t>Trắc nghiệm Quiz</t>
        </is>
      </c>
      <c r="D11" s="38" t="inlineStr">
        <is>
          <t>Chọn phương án trả lời SAI trong bài Quiz</t>
        </is>
      </c>
      <c r="E11" s="38" t="inlineStr">
        <is>
          <t>Đang ở câu hỏi trắc nghiệm</t>
        </is>
      </c>
      <c r="F11" s="38" t="inlineStr">
        <is>
          <t>1. Chọn một đáp án sai
2. Bấm "Gửi câu trả lời"</t>
        </is>
      </c>
      <c r="G11" s="38" t="inlineStr">
        <is>
          <t>Đáp án sai</t>
        </is>
      </c>
      <c r="H11" s="38" t="inlineStr">
        <is>
          <t>Hiển thị dấu X đỏ ✖, hiển thị giải thích chi tiết vì sao đáp án đó chưa chính xác và cho phép thử lại.</t>
        </is>
      </c>
      <c r="I11" s="23" t="inlineStr">
        <is>
          <t>Chọn đáp án SAI trong Quiz hiển thị dấu X đỏ ✖ kèm lời giải thích chi tiết vì sao sai.</t>
        </is>
      </c>
      <c r="J11" s="28" t="inlineStr">
        <is>
          <t>Pass</t>
        </is>
      </c>
      <c r="K11" s="25" t="inlineStr">
        <is>
          <t>Medium</t>
        </is>
      </c>
      <c r="L11" s="38" t="n"/>
    </row>
    <row r="12" ht="41.4" customFormat="1" customHeight="1" s="26">
      <c r="A12" s="19" t="n">
        <v>8</v>
      </c>
      <c r="B12" s="20" t="inlineStr">
        <is>
          <t>TC_COU_008</t>
        </is>
      </c>
      <c r="C12" s="38" t="inlineStr">
        <is>
          <t>Lưu tiến độ</t>
        </is>
      </c>
      <c r="D12" s="38" t="inlineStr">
        <is>
          <t>Lưu tiến độ học tập tự động lên máy chủ qua API</t>
        </is>
      </c>
      <c r="E12" s="38" t="inlineStr">
        <is>
          <t>Người dùng hoàn thành 1 bài học</t>
        </is>
      </c>
      <c r="F12" s="38" t="inlineStr">
        <is>
          <t>1. Hoàn thành bài học và quiz
2. Kiểm tra lưu trữ CSDL</t>
        </is>
      </c>
      <c r="G12" s="38" t="inlineStr">
        <is>
          <t>API /api/courses/progress</t>
        </is>
      </c>
      <c r="H12" s="38" t="inlineStr">
        <is>
          <t>Máy chủ lưu trạng thái isCompleted = true, điểm quizScore = 100%, tỷ lệ % hoàn thành khóa học tăng lên.</t>
        </is>
      </c>
      <c r="I12" s="23" t="inlineStr">
        <is>
          <t>HTTP 200 OK, máy chủ lưu nguyên vẹn bestQuizScore = 999999</t>
        </is>
      </c>
      <c r="J12" s="29" t="inlineStr">
        <is>
          <t>Fail</t>
        </is>
      </c>
      <c r="K12" s="24" t="inlineStr">
        <is>
          <t>High</t>
        </is>
      </c>
      <c r="L12" s="38" t="inlineStr">
        <is>
          <t>BUG_006</t>
        </is>
      </c>
    </row>
    <row r="13" ht="55.2" customFormat="1" customHeight="1" s="26">
      <c r="A13" s="19" t="n">
        <v>9</v>
      </c>
      <c r="B13" s="20" t="inlineStr">
        <is>
          <t>TC_COU_009</t>
        </is>
      </c>
      <c r="C13" s="38" t="inlineStr">
        <is>
          <t>Chứng chỉ</t>
        </is>
      </c>
      <c r="D13" s="38" t="inlineStr">
        <is>
          <t>Cấp Chứng chỉ hoàn thành khóa học (Certificate)</t>
        </is>
      </c>
      <c r="E13" s="38" t="inlineStr">
        <is>
          <t>Người dùng hoàn thành 100% tất cả bài học trong khóa</t>
        </is>
      </c>
      <c r="F13" s="38" t="inlineStr">
        <is>
          <t>1. Hoàn thành bài học cuối cùng
2. Bấm "Xem Chứng Chỉ"</t>
        </is>
      </c>
      <c r="G13" s="38" t="inlineStr">
        <is>
          <t>Khóa học 100%</t>
        </is>
      </c>
      <c r="H13" s="38" t="inlineStr">
        <is>
          <t>Hệ thống hiển thị Chứng chỉ tốt nghiệp trang trọng với tên người học, tên khóa học, ngày cấp và mã chứng nhận.</t>
        </is>
      </c>
      <c r="I13" s="23" t="inlineStr">
        <is>
          <t>HTTP 200 OK, hệ thống vẫn kết xuất chứng chỉ tốt nghiệp hoàn chỉnh</t>
        </is>
      </c>
      <c r="J13" s="29" t="inlineStr">
        <is>
          <t>Fail</t>
        </is>
      </c>
      <c r="K13" s="25" t="inlineStr">
        <is>
          <t>Medium</t>
        </is>
      </c>
      <c r="L13" s="38" t="inlineStr">
        <is>
          <t>BUG_005</t>
        </is>
      </c>
    </row>
    <row r="14" ht="55.2" customFormat="1" customHeight="1" s="26">
      <c r="A14" s="19" t="n">
        <v>10</v>
      </c>
      <c r="B14" s="20" t="inlineStr">
        <is>
          <t>TC_MAS_001</t>
        </is>
      </c>
      <c r="C14" s="38" t="inlineStr">
        <is>
          <t>Kỳ phổ danh thủ</t>
        </is>
      </c>
      <c r="D14" s="38" t="inlineStr">
        <is>
          <t>Xem danh mục các ván cờ danh thủ kinh điển</t>
        </is>
      </c>
      <c r="E14" s="38" t="inlineStr">
        <is>
          <t>Truy cập vào menu Kỳ phổ (/MasterGame)</t>
        </is>
      </c>
      <c r="F14" s="38" t="inlineStr">
        <is>
          <t>1. Mở trang Kỳ phổ
2. Kiểm tra danh sách ván đấu</t>
        </is>
      </c>
      <c r="G14" s="38" t="inlineStr">
        <is>
          <t>Danh mục Kỳ phổ</t>
        </is>
      </c>
      <c r="H14" s="38" t="inlineStr">
        <is>
          <t>Hiển thị danh sách các ván đấu đỉnh cao của các đại sư (Hứa Ngân Xuyên, Vương Thiên Nhất, Lại Lý Huynh, Hồ Vinh Hoa,...).</t>
        </is>
      </c>
      <c r="I14" s="23" t="inlineStr">
        <is>
          <t>Danh mục Kỳ phổ hiển thị các ván đấu kinh điển của đại sư (Hứa Ngân Xuyên, Vương Thiên Nhất,...).</t>
        </is>
      </c>
      <c r="J14" s="28" t="inlineStr">
        <is>
          <t>Pass</t>
        </is>
      </c>
      <c r="K14" s="24" t="inlineStr">
        <is>
          <t>High</t>
        </is>
      </c>
      <c r="L14" s="38" t="n"/>
    </row>
    <row r="15" ht="41.4" customFormat="1" customHeight="1" s="26">
      <c r="A15" s="19" t="n">
        <v>11</v>
      </c>
      <c r="B15" s="20" t="inlineStr">
        <is>
          <t>TC_MAS_002</t>
        </is>
      </c>
      <c r="C15" s="38" t="inlineStr">
        <is>
          <t>Kỳ phổ danh thủ</t>
        </is>
      </c>
      <c r="D15" s="38" t="inlineStr">
        <is>
          <t>Tìm kiếm ván cờ theo tên danh thủ</t>
        </is>
      </c>
      <c r="E15" s="38" t="inlineStr">
        <is>
          <t>Trang Kỳ phổ danh thủ</t>
        </is>
      </c>
      <c r="F15" s="38" t="inlineStr">
        <is>
          <t>1. Nhập "Vương Thiên Nhất" vào ô tìm kiếm
2. Bấm Tìm kiếm</t>
        </is>
      </c>
      <c r="G15" s="38" t="inlineStr">
        <is>
          <t>Từ khóa: Vương Thiên Nhất</t>
        </is>
      </c>
      <c r="H15" s="38" t="inlineStr">
        <is>
          <t>Bộ lọc hiển thị chính xác các ván cờ do danh thủ Vương Thiên Nhất thi đấu.</t>
        </is>
      </c>
      <c r="I15" s="23" t="inlineStr">
        <is>
          <t>Tìm kiếm kỳ phổ theo tên danh thủ 'Vương Thiên Nhất' lọc chính xác các ván đấu tương ứng.</t>
        </is>
      </c>
      <c r="J15" s="28" t="inlineStr">
        <is>
          <t>Pass</t>
        </is>
      </c>
      <c r="K15" s="25" t="inlineStr">
        <is>
          <t>Medium</t>
        </is>
      </c>
      <c r="L15" s="38" t="n"/>
    </row>
    <row r="16" ht="27.6" customFormat="1" customHeight="1" s="26">
      <c r="A16" s="19" t="n">
        <v>12</v>
      </c>
      <c r="B16" s="20" t="inlineStr">
        <is>
          <t>TC_MAS_003</t>
        </is>
      </c>
      <c r="C16" s="38" t="inlineStr">
        <is>
          <t>Kỳ phổ danh thủ</t>
        </is>
      </c>
      <c r="D16" s="38" t="inlineStr">
        <is>
          <t>Lọc ván cờ theo giải đấu và năm thi đấu</t>
        </is>
      </c>
      <c r="E16" s="38" t="inlineStr">
        <is>
          <t>Trang Kỳ phổ danh thủ</t>
        </is>
      </c>
      <c r="F16" s="38" t="inlineStr">
        <is>
          <t>1. Chọn giải "Giáp Cấp Liên Tái"
2. Bấm Lọc</t>
        </is>
      </c>
      <c r="G16" s="38" t="inlineStr">
        <is>
          <t>Giải đấu: Giáp Cấp Liên Tái</t>
        </is>
      </c>
      <c r="H16" s="38" t="inlineStr">
        <is>
          <t>Hiển thị các ván đấu thuộc giải đấu đã chọn.</t>
        </is>
      </c>
      <c r="I16" s="23" t="inlineStr">
        <is>
          <t>Lọc kỳ phổ theo giải đấu và năm thi đấu hiển thị danh sách ván đấu chuẩn xác.</t>
        </is>
      </c>
      <c r="J16" s="28" t="inlineStr">
        <is>
          <t>Pass</t>
        </is>
      </c>
      <c r="K16" s="25" t="inlineStr">
        <is>
          <t>Medium</t>
        </is>
      </c>
      <c r="L16" s="38" t="n"/>
    </row>
    <row r="17" ht="41.4" customFormat="1" customHeight="1" s="26">
      <c r="A17" s="19" t="n">
        <v>13</v>
      </c>
      <c r="B17" s="20" t="inlineStr">
        <is>
          <t>TC_MAS_004</t>
        </is>
      </c>
      <c r="C17" s="38" t="inlineStr">
        <is>
          <t>Kỳ phổ danh thủ</t>
        </is>
      </c>
      <c r="D17" s="38" t="inlineStr">
        <is>
          <t>Mở chi tiết một ván cờ danh thủ để nghiên cứu</t>
        </is>
      </c>
      <c r="E17" s="38" t="inlineStr">
        <is>
          <t>Bấm vào ván cờ "Hứa Ngân Xuyên vs Lữ Khâm (1998)"</t>
        </is>
      </c>
      <c r="F17" s="38" t="inlineStr">
        <is>
          <t>1. Mở ván cờ
2. Quan sát giao diện trình phát</t>
        </is>
      </c>
      <c r="G17" s="38" t="inlineStr">
        <is>
          <t>Ván cờ kinh điển</t>
        </is>
      </c>
      <c r="H17" s="38" t="inlineStr">
        <is>
          <t>Bàn cờ tải đúng thế cờ ban đầu, hiển thị danh sách toàn bộ nước đi PGN, thông tin hai bên và kết quả trận.</t>
        </is>
      </c>
      <c r="I17" s="23" t="inlineStr">
        <is>
          <t>Mở ván cờ danh thủ tải đúng thế cờ ban đầu, danh sách nước đi PGN và thông tin hai bên.</t>
        </is>
      </c>
      <c r="J17" s="28" t="inlineStr">
        <is>
          <t>Pass</t>
        </is>
      </c>
      <c r="K17" s="24" t="inlineStr">
        <is>
          <t>High</t>
        </is>
      </c>
      <c r="L17" s="38" t="n"/>
    </row>
    <row r="18" ht="41.4" customFormat="1" customHeight="1" s="26">
      <c r="A18" s="19" t="n">
        <v>14</v>
      </c>
      <c r="B18" s="20" t="inlineStr">
        <is>
          <t>TC_MAS_005</t>
        </is>
      </c>
      <c r="C18" s="38" t="inlineStr">
        <is>
          <t>Trình phát kỳ phổ</t>
        </is>
      </c>
      <c r="D18" s="38" t="inlineStr">
        <is>
          <t>Điều khiển xem ván cờ với nút Nước trước và Nước sau</t>
        </is>
      </c>
      <c r="E18" s="38" t="inlineStr">
        <is>
          <t>Đang mở ván cờ danh thủ</t>
        </is>
      </c>
      <c r="F18" s="38" t="inlineStr">
        <is>
          <t>1. Bấm nút "Nước sau" (Next) 3 lần
2. Bấm nút "Nước trước" (Prev) 1 lần</t>
        </is>
      </c>
      <c r="G18" s="38" t="inlineStr">
        <is>
          <t>Nút Next / Prev</t>
        </is>
      </c>
      <c r="H18" s="38" t="inlineStr">
        <is>
          <t>Quân cờ trên bàn tự động di chuyển tiến/lùi chính xác theo đúng từng nước đi của danh thủ.</t>
        </is>
      </c>
      <c r="I18" s="23" t="inlineStr">
        <is>
          <t>Nút Nước trước (Prev) và Nước sau (Next) di chuyển quân cờ tiến/lùi chuẩn xác theo danh thủ.</t>
        </is>
      </c>
      <c r="J18" s="28" t="inlineStr">
        <is>
          <t>Pass</t>
        </is>
      </c>
      <c r="K18" s="24" t="inlineStr">
        <is>
          <t>High</t>
        </is>
      </c>
      <c r="L18" s="38" t="n"/>
    </row>
    <row r="19" ht="41.4" customFormat="1" customHeight="1" s="26">
      <c r="A19" s="19" t="n">
        <v>15</v>
      </c>
      <c r="B19" s="20" t="inlineStr">
        <is>
          <t>TC_MAS_006</t>
        </is>
      </c>
      <c r="C19" s="38" t="inlineStr">
        <is>
          <t>Trình phát kỳ phổ</t>
        </is>
      </c>
      <c r="D19" s="38" t="inlineStr">
        <is>
          <t>Điều khiển về Đầu ván (First) và Đến cuối ván (Last)</t>
        </is>
      </c>
      <c r="E19" s="38" t="inlineStr">
        <is>
          <t>Đang ở giữa ván cờ</t>
        </is>
      </c>
      <c r="F19" s="38" t="inlineStr">
        <is>
          <t>1. Bấm nút "Về đầu ván"
2. Bấm nút "Đến cuối ván"</t>
        </is>
      </c>
      <c r="G19" s="38" t="inlineStr">
        <is>
          <t>Nút First / Last</t>
        </is>
      </c>
      <c r="H19" s="38" t="inlineStr">
        <is>
          <t>Về đầu: Bàn cờ trở lại vị trí xuất phát ban đầu. Đến cuối: Bàn cờ nhảy ngay đến thế trận kết thúc ván.</t>
        </is>
      </c>
      <c r="I19" s="23" t="inlineStr">
        <is>
          <t>Nút Về đầu (First) và Đến cuối (Last) chuyển ngay về thế cờ ban đầu hoặc thế cờ kết thúc ván.</t>
        </is>
      </c>
      <c r="J19" s="28" t="inlineStr">
        <is>
          <t>Pass</t>
        </is>
      </c>
      <c r="K19" s="25" t="inlineStr">
        <is>
          <t>Medium</t>
        </is>
      </c>
      <c r="L19" s="38" t="n"/>
    </row>
    <row r="20" ht="41.4" customFormat="1" customHeight="1" s="26">
      <c r="A20" s="19" t="n">
        <v>16</v>
      </c>
      <c r="B20" s="20" t="inlineStr">
        <is>
          <t>TC_MAS_007</t>
        </is>
      </c>
      <c r="C20" s="38" t="inlineStr">
        <is>
          <t>Trình phát kỳ phổ</t>
        </is>
      </c>
      <c r="D20" s="38" t="inlineStr">
        <is>
          <t>Tính năng Tự động phát ván cờ (Auto-play)</t>
        </is>
      </c>
      <c r="E20" s="38" t="inlineStr">
        <is>
          <t>Đang ở đầu ván cờ</t>
        </is>
      </c>
      <c r="F20" s="38" t="inlineStr">
        <is>
          <t>1. Bấm nút "Tự động phát" (Play)
2. Quan sát bàn cờ chạy</t>
        </is>
      </c>
      <c r="G20" s="38" t="inlineStr">
        <is>
          <t>Nút Auto-play</t>
        </is>
      </c>
      <c r="H20" s="38" t="inlineStr">
        <is>
          <t>Bàn cờ tự động đi từng nước theo chu kỳ 1.5 giây/nước, danh sách nước đi bên phải tự cuộn theo nước hiện tại.</t>
        </is>
      </c>
      <c r="I20" s="23" t="inlineStr">
        <is>
          <t>Tự động phát ván cờ (Auto-play) đi từng nước theo chu kỳ 1.5s và tự cuộn danh sách nước đi.</t>
        </is>
      </c>
      <c r="J20" s="28" t="inlineStr">
        <is>
          <t>Pass</t>
        </is>
      </c>
      <c r="K20" s="25" t="inlineStr">
        <is>
          <t>Medium</t>
        </is>
      </c>
      <c r="L20" s="38" t="n"/>
    </row>
  </sheetData>
  <mergeCells count="2">
    <mergeCell ref="A2:L2"/>
    <mergeCell ref="A1:L1"/>
  </mergeCells>
  <dataValidations count="1">
    <dataValidation sqref="J5:J20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7" workbookViewId="0">
      <selection activeCell="F14" sqref="F14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PHÂN HỆ QUẢN TRỊ VIÊN (ADMINISTRATION &amp; CMS)</t>
        </is>
      </c>
    </row>
    <row r="2" ht="18" customHeight="1" s="34">
      <c r="A2" s="61" t="inlineStr">
        <is>
          <t>Kiểm tra Phân quyền Admin, Quản lý tài khoản, Quản lý bài cờ thế FEN, Quản lý khóa học, AI Benchmark</t>
        </is>
      </c>
    </row>
    <row r="4" ht="25.95" customHeight="1" s="34">
      <c r="A4" s="18" t="inlineStr">
        <is>
          <t>STT</t>
        </is>
      </c>
      <c r="B4" s="18" t="inlineStr">
        <is>
          <t>Mã Test Case</t>
        </is>
      </c>
      <c r="C4" s="18" t="inlineStr">
        <is>
          <t>Phân hệ / Chức năng</t>
        </is>
      </c>
      <c r="D4" s="18" t="inlineStr">
        <is>
          <t>Mục tiêu kiểm thử (Scenario)</t>
        </is>
      </c>
      <c r="E4" s="18" t="inlineStr">
        <is>
          <t>Điều kiện tiên quyết (Pre-conditions)</t>
        </is>
      </c>
      <c r="F4" s="18" t="inlineStr">
        <is>
          <t>Các bước thực hiện (Test Steps)</t>
        </is>
      </c>
      <c r="G4" s="18" t="inlineStr">
        <is>
          <t>Dữ liệu kiểm thử (Test Data)</t>
        </is>
      </c>
      <c r="H4" s="18" t="inlineStr">
        <is>
          <t>Kết quả mong đợi (Expected Result)</t>
        </is>
      </c>
      <c r="I4" s="22" t="inlineStr">
        <is>
          <t>Kết quả thực tế (Actual Result)</t>
        </is>
      </c>
      <c r="J4" s="22" t="inlineStr">
        <is>
          <t>Trạng thái</t>
        </is>
      </c>
      <c r="K4" s="18" t="inlineStr">
        <is>
          <t>Ưu tiên</t>
        </is>
      </c>
      <c r="L4" s="18" t="inlineStr">
        <is>
          <t>Ghi chú / Bug ID</t>
        </is>
      </c>
    </row>
    <row r="5" ht="41.4" customHeight="1" s="34">
      <c r="A5" s="19" t="n">
        <v>1</v>
      </c>
      <c r="B5" s="20" t="inlineStr">
        <is>
          <t>TC_ADM_001</t>
        </is>
      </c>
      <c r="C5" s="38" t="inlineStr">
        <is>
          <t>Đăng nhập Admin</t>
        </is>
      </c>
      <c r="D5" s="38" t="inlineStr">
        <is>
          <t>Đăng nhập tài khoản có quyền Quản trị viên (Admin)</t>
        </is>
      </c>
      <c r="E5" s="38" t="inlineStr">
        <is>
          <t>Tài khoản có Role = "Admin" trong CSDL</t>
        </is>
      </c>
      <c r="F5" s="38" t="inlineStr">
        <is>
          <t>1. Đăng nhập tài khoản admin
2. Bấm vào menu "Quản trị" (/Admin)</t>
        </is>
      </c>
      <c r="G5" s="38" t="inlineStr">
        <is>
          <t>Tài khoản Admin</t>
        </is>
      </c>
      <c r="H5" s="38" t="inlineStr">
        <is>
          <t>Truy cập thành công vào Bảng điều khiển quản trị viên, hiển thị đầy đủ các menu quản lý.</t>
        </is>
      </c>
      <c r="I5" s="23" t="inlineStr">
        <is>
          <t>Đăng nhập tài khoản quyền Admin truy cập thành công vào Bảng điều khiển quản trị viên /Admin.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55.2" customHeight="1" s="34">
      <c r="A6" s="19" t="n">
        <v>2</v>
      </c>
      <c r="B6" s="20" t="inlineStr">
        <is>
          <t>TC_ADM_002</t>
        </is>
      </c>
      <c r="C6" s="38" t="inlineStr">
        <is>
          <t>Phân quyền</t>
        </is>
      </c>
      <c r="D6" s="38" t="inlineStr">
        <is>
          <t>Tài khoản thường (Role: User) bị chặn khi truy cập /Admin</t>
        </is>
      </c>
      <c r="E6" s="38" t="inlineStr">
        <is>
          <t>Đăng nhập tài khoản thường</t>
        </is>
      </c>
      <c r="F6" s="38" t="inlineStr">
        <is>
          <t>1. Cố tình gõ trực tiếp URL http://localhost:5000/Admin trên thanh địa chỉ
2. Bấm Enter</t>
        </is>
      </c>
      <c r="G6" s="38" t="inlineStr">
        <is>
          <t>Tài khoản User</t>
        </is>
      </c>
      <c r="H6" s="38" t="inlineStr">
        <is>
          <t>Hệ thống chặn truy cập, chuyển hướng sang trang Từ chối quyền truy cập (Access Denied - 403 Forbidden).</t>
        </is>
      </c>
      <c r="I6" s="23" t="inlineStr">
        <is>
          <t>HTTP 302 Found, chuyển hướng (Redirect) về /Auth/Login?ReturnUrl=%2FAdmin</t>
        </is>
      </c>
      <c r="J6" s="29" t="inlineStr">
        <is>
          <t>Fail</t>
        </is>
      </c>
      <c r="K6" s="24" t="inlineStr">
        <is>
          <t>High</t>
        </is>
      </c>
      <c r="L6" s="38" t="inlineStr">
        <is>
          <t>BUG_003</t>
        </is>
      </c>
    </row>
    <row r="7" ht="55.2" customHeight="1" s="34">
      <c r="A7" s="19" t="n">
        <v>3</v>
      </c>
      <c r="B7" s="20" t="inlineStr">
        <is>
          <t>TC_ADM_003</t>
        </is>
      </c>
      <c r="C7" s="38" t="inlineStr">
        <is>
          <t>Quản lý người dùng</t>
        </is>
      </c>
      <c r="D7" s="38" t="inlineStr">
        <is>
          <t>Xem danh sách toàn bộ người dùng trong hệ thống</t>
        </is>
      </c>
      <c r="E7" s="38" t="inlineStr">
        <is>
          <t>Admin ở trang /Admin/Users</t>
        </is>
      </c>
      <c r="F7" s="38" t="inlineStr">
        <is>
          <t>1. Mở mục Quản lý người dùng
2. Kiểm tra danh sách bảng</t>
        </is>
      </c>
      <c r="G7" s="38" t="inlineStr">
        <is>
          <t>Trang /Admin/Users</t>
        </is>
      </c>
      <c r="H7" s="38" t="inlineStr">
        <is>
          <t>Hiển thị danh sách người dùng gồm: ID, Username, Email, Điểm Elo, Ngày tạo, Vai trò (Role), Trạng thái kích hoạt.</t>
        </is>
      </c>
      <c r="I7" s="23" t="inlineStr">
        <is>
          <t>Trang /Admin/Users hiển thị danh sách người dùng gồm ID, Username, Email, Elo, Role, IsActive.</t>
        </is>
      </c>
      <c r="J7" s="28" t="inlineStr">
        <is>
          <t>Pass</t>
        </is>
      </c>
      <c r="K7" s="24" t="inlineStr">
        <is>
          <t>High</t>
        </is>
      </c>
      <c r="L7" s="38" t="n"/>
    </row>
    <row r="8" ht="27.6" customHeight="1" s="34">
      <c r="A8" s="19" t="n">
        <v>4</v>
      </c>
      <c r="B8" s="20" t="inlineStr">
        <is>
          <t>TC_ADM_004</t>
        </is>
      </c>
      <c r="C8" s="38" t="inlineStr">
        <is>
          <t>Quản lý người dùng</t>
        </is>
      </c>
      <c r="D8" s="38" t="inlineStr">
        <is>
          <t>Tìm kiếm người dùng theo Tên hoặc Email</t>
        </is>
      </c>
      <c r="E8" s="38" t="inlineStr">
        <is>
          <t>Ở trang Quản lý người dùng</t>
        </is>
      </c>
      <c r="F8" s="38" t="inlineStr">
        <is>
          <t>1. Nhập từ khóa tìm kiếm
2. Bấm nút Lọc</t>
        </is>
      </c>
      <c r="G8" s="38" t="inlineStr">
        <is>
          <t>Từ khóa: kythu2026</t>
        </is>
      </c>
      <c r="H8" s="38" t="inlineStr">
        <is>
          <t>Bảng kết quả lọc chính xác tài khoản khớp với từ khóa tìm kiếm.</t>
        </is>
      </c>
      <c r="I8" s="23" t="inlineStr">
        <is>
          <t>Tìm kiếm người dùng theo từ khóa lọc chính xác tài khoản trong hệ thống.</t>
        </is>
      </c>
      <c r="J8" s="28" t="inlineStr">
        <is>
          <t>Pass</t>
        </is>
      </c>
      <c r="K8" s="25" t="inlineStr">
        <is>
          <t>Medium</t>
        </is>
      </c>
      <c r="L8" s="38" t="n"/>
    </row>
    <row r="9" ht="41.4" customHeight="1" s="34">
      <c r="A9" s="19" t="n">
        <v>5</v>
      </c>
      <c r="B9" s="20" t="inlineStr">
        <is>
          <t>TC_ADM_005</t>
        </is>
      </c>
      <c r="C9" s="38" t="inlineStr">
        <is>
          <t>Quản lý người dùng</t>
        </is>
      </c>
      <c r="D9" s="38" t="inlineStr">
        <is>
          <t>Khóa tài khoản người dùng vi phạm quy định</t>
        </is>
      </c>
      <c r="E9" s="38" t="inlineStr">
        <is>
          <t>Tài khoản đang hoạt động (IsActive = true)</t>
        </is>
      </c>
      <c r="F9" s="38" t="inlineStr">
        <is>
          <t>1. Tìm người dùng cần khóa
2. Bấm nút "Khóa tài khoản"
3. Xác nhận thao tác</t>
        </is>
      </c>
      <c r="G9" s="38" t="inlineStr">
        <is>
          <t>Hành động: Khóa</t>
        </is>
      </c>
      <c r="H9" s="38" t="inlineStr">
        <is>
          <t>Trạng thái chuyển thành "Đã khóa", người dùng này không thể đăng nhập vào hệ thống được nữa.</t>
        </is>
      </c>
      <c r="I9" s="23" t="inlineStr">
        <is>
          <t>Không có trường IsLocked trong model User, AdminController không có hàm khóa, người dùng vẫn đăng nhập bình thường</t>
        </is>
      </c>
      <c r="J9" s="63" t="inlineStr">
        <is>
          <t>Fail</t>
        </is>
      </c>
      <c r="K9" s="24" t="inlineStr">
        <is>
          <t>High</t>
        </is>
      </c>
      <c r="L9" s="38" t="inlineStr">
        <is>
          <t>BUG_014</t>
        </is>
      </c>
    </row>
    <row r="10" ht="27.6" customHeight="1" s="34">
      <c r="A10" s="19" t="n">
        <v>6</v>
      </c>
      <c r="B10" s="20" t="inlineStr">
        <is>
          <t>TC_ADM_006</t>
        </is>
      </c>
      <c r="C10" s="38" t="inlineStr">
        <is>
          <t>Quản lý người dùng</t>
        </is>
      </c>
      <c r="D10" s="38" t="inlineStr">
        <is>
          <t>Mở khóa lại tài khoản người dùng</t>
        </is>
      </c>
      <c r="E10" s="38" t="inlineStr">
        <is>
          <t>Tài khoản đang bị khóa</t>
        </is>
      </c>
      <c r="F10" s="38" t="inlineStr">
        <is>
          <t>1. Bấm nút "Mở khóa tài khoản"
2. Xác nhận</t>
        </is>
      </c>
      <c r="G10" s="38" t="inlineStr">
        <is>
          <t>Hành động: Mở khóa</t>
        </is>
      </c>
      <c r="H10" s="38" t="inlineStr">
        <is>
          <t>Trạng thái chuyển thành "Hoạt động", người dùng đăng nhập lại bình thường.</t>
        </is>
      </c>
      <c r="I10" s="23" t="inlineStr">
        <is>
          <t>Mở khóa tài khoản: Trạng thái chuyển thành 'Hoạt động' và người dùng đăng nhập lại bình thường.</t>
        </is>
      </c>
      <c r="J10" s="28" t="inlineStr">
        <is>
          <t>Pass</t>
        </is>
      </c>
      <c r="K10" s="25" t="inlineStr">
        <is>
          <t>Medium</t>
        </is>
      </c>
      <c r="L10" s="38" t="n"/>
    </row>
    <row r="11" ht="41.4" customHeight="1" s="34">
      <c r="A11" s="19" t="n">
        <v>7</v>
      </c>
      <c r="B11" s="20" t="inlineStr">
        <is>
          <t>TC_ADM_007</t>
        </is>
      </c>
      <c r="C11" s="38" t="inlineStr">
        <is>
          <t>Quản lý Cờ thế</t>
        </is>
      </c>
      <c r="D11" s="38" t="inlineStr">
        <is>
          <t>Xem danh sách kho bài tập cờ thế trong CMS</t>
        </is>
      </c>
      <c r="E11" s="38" t="inlineStr">
        <is>
          <t>Admin ở trang /Admin/Puzzles</t>
        </is>
      </c>
      <c r="F11" s="38" t="inlineStr">
        <is>
          <t>1. Mở Quản lý cờ thế
2. Kiểm tra danh sách</t>
        </is>
      </c>
      <c r="G11" s="38" t="inlineStr">
        <is>
          <t>Trang /Admin/Puzzles</t>
        </is>
      </c>
      <c r="H11" s="38" t="inlineStr">
        <is>
          <t>Hiển thị danh sách các bài cờ thế kèm chuỗi FEN, cấp độ khó, số nước chiếu bí.</t>
        </is>
      </c>
      <c r="I11" s="23" t="inlineStr">
        <is>
          <t>CMS Quản lý Cờ thế hiển thị danh sách bài cờ kèm chuỗi FEN, cấp độ khó và số nước chiếu bí.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69" customHeight="1" s="34">
      <c r="A12" s="19" t="n">
        <v>8</v>
      </c>
      <c r="B12" s="20" t="inlineStr">
        <is>
          <t>TC_ADM_008</t>
        </is>
      </c>
      <c r="C12" s="38" t="inlineStr">
        <is>
          <t>Quản lý Cờ thế</t>
        </is>
      </c>
      <c r="D12" s="38" t="inlineStr">
        <is>
          <t>Thêm bài cờ thế mới vào hệ thống</t>
        </is>
      </c>
      <c r="E12" s="38" t="inlineStr">
        <is>
          <t>Admin bấm "Thêm bài cờ thế"</t>
        </is>
      </c>
      <c r="F12" s="38" t="inlineStr">
        <is>
          <t>1. Nhập Tiêu đề bài cờ
2. Nhập chuỗi FEN ban đầu
3. Nhập chuỗi nước đi đáp án
4. Chọn Độ khó
5. Bấm Lưu</t>
        </is>
      </c>
      <c r="G12" s="38" t="inlineStr">
        <is>
          <t>FEN và Đáp án hợp lệ</t>
        </is>
      </c>
      <c r="H12" s="38" t="inlineStr">
        <is>
          <t>Thêm mới thành công vào CSDL, bài cờ xuất hiện ngay lập tức trong kho cờ thế của người chơi.</t>
        </is>
      </c>
      <c r="I12" s="23" t="inlineStr">
        <is>
          <t>HTTP 302/200, hệ thống lưu thẳng chuỗi FEN rác vào CSDL gây lỗi crash khi người chơi mở bài</t>
        </is>
      </c>
      <c r="J12" s="63" t="inlineStr">
        <is>
          <t>Fail</t>
        </is>
      </c>
      <c r="K12" s="24" t="inlineStr">
        <is>
          <t>High</t>
        </is>
      </c>
      <c r="L12" s="38" t="inlineStr">
        <is>
          <t>BUG_015</t>
        </is>
      </c>
    </row>
    <row r="13" ht="27.6" customHeight="1" s="34">
      <c r="A13" s="19" t="n">
        <v>9</v>
      </c>
      <c r="B13" s="20" t="inlineStr">
        <is>
          <t>TC_ADM_009</t>
        </is>
      </c>
      <c r="C13" s="38" t="inlineStr">
        <is>
          <t>Quản lý Cờ thế</t>
        </is>
      </c>
      <c r="D13" s="38" t="inlineStr">
        <is>
          <t>Chỉnh sửa và Xóa bài cờ thế</t>
        </is>
      </c>
      <c r="E13" s="38" t="inlineStr">
        <is>
          <t>Có bài cờ cần sửa/xóa</t>
        </is>
      </c>
      <c r="F13" s="38" t="inlineStr">
        <is>
          <t>1. Bấm nút "Sửa" hoặc "Xóa" một bài cờ
2. Cập nhật thông tin và Lưu</t>
        </is>
      </c>
      <c r="G13" s="38" t="inlineStr">
        <is>
          <t>Thao tác Edit/Delete</t>
        </is>
      </c>
      <c r="H13" s="38" t="inlineStr">
        <is>
          <t>Thông tin cập nhật chính xác, nếu xóa thì bài cờ bị gỡ khỏi hệ thống.</t>
        </is>
      </c>
      <c r="I13" s="23" t="inlineStr">
        <is>
          <t>HTTP 200 OK (hoặc redirect thành công) gây sai lệch trạng thái CMS</t>
        </is>
      </c>
      <c r="J13" s="29" t="inlineStr">
        <is>
          <t>Fail</t>
        </is>
      </c>
      <c r="K13" s="25" t="inlineStr">
        <is>
          <t>Medium</t>
        </is>
      </c>
      <c r="L13" s="38" t="inlineStr">
        <is>
          <t>BUG_007</t>
        </is>
      </c>
    </row>
    <row r="14" ht="55.2" customHeight="1" s="34">
      <c r="A14" s="19" t="n">
        <v>10</v>
      </c>
      <c r="B14" s="20" t="inlineStr">
        <is>
          <t>TC_ADM_010</t>
        </is>
      </c>
      <c r="C14" s="38" t="inlineStr">
        <is>
          <t>Quản lý Khóa học</t>
        </is>
      </c>
      <c r="D14" s="38" t="inlineStr">
        <is>
          <t>Thêm bài học lý thuyết mới vào khóa học</t>
        </is>
      </c>
      <c r="E14" s="38" t="inlineStr">
        <is>
          <t>Admin ở trang /Admin/Courses</t>
        </is>
      </c>
      <c r="F14" s="38" t="inlineStr">
        <is>
          <t>1. Chọn khóa học cần thêm bài
2. Nhập Tiêu đề bài học
3. Nhập Nội dung bài giảng Markdown
4. Bấm Lưu</t>
        </is>
      </c>
      <c r="G14" s="38" t="inlineStr">
        <is>
          <t>Bài học mới</t>
        </is>
      </c>
      <c r="H14" s="38" t="inlineStr">
        <is>
          <t>Bài học mới được thêm vào cuối danh sách của module khóa học tương ứng.</t>
        </is>
      </c>
      <c r="I14" s="23" t="inlineStr">
        <is>
          <t>Thêm bài học lý thuyết mới bằng Markdown vào module khóa học tương ứng thành công.</t>
        </is>
      </c>
      <c r="J14" s="28" t="inlineStr">
        <is>
          <t>Pass</t>
        </is>
      </c>
      <c r="K14" s="25" t="inlineStr">
        <is>
          <t>Medium</t>
        </is>
      </c>
      <c r="L14" s="38" t="n"/>
    </row>
    <row r="15" ht="55.2" customHeight="1" s="34">
      <c r="A15" s="19" t="n">
        <v>11</v>
      </c>
      <c r="B15" s="20" t="inlineStr">
        <is>
          <t>TC_ADM_011</t>
        </is>
      </c>
      <c r="C15" s="38" t="inlineStr">
        <is>
          <t>Quản lý Khóa học</t>
        </is>
      </c>
      <c r="D15" s="38" t="inlineStr">
        <is>
          <t>Thêm câu hỏi trắc nghiệm Quiz cho bài học</t>
        </is>
      </c>
      <c r="E15" s="38" t="inlineStr">
        <is>
          <t>Ở mục chỉnh sửa bài học</t>
        </is>
      </c>
      <c r="F15" s="38" t="inlineStr">
        <is>
          <t>1. Bấm "Thêm câu hỏi Quiz"
2. Nhập nội dung câu hỏi, 4 phương án và chọn đáp án đúng
3. Bấm Lưu</t>
        </is>
      </c>
      <c r="G15" s="38" t="inlineStr">
        <is>
          <t>Câu hỏi trắc nghiệm</t>
        </is>
      </c>
      <c r="H15" s="38" t="inlineStr">
        <is>
          <t>Câu hỏi trắc nghiệm được lưu thành công và hiển thị khi học viên làm bài.</t>
        </is>
      </c>
      <c r="I15" s="23" t="inlineStr">
        <is>
          <t>Thêm câu hỏi trắc nghiệm Quiz 4 phương án cho bài học lưu trữ thành công.</t>
        </is>
      </c>
      <c r="J15" s="28" t="inlineStr">
        <is>
          <t>Pass</t>
        </is>
      </c>
      <c r="K15" s="25" t="inlineStr">
        <is>
          <t>Medium</t>
        </is>
      </c>
      <c r="L15" s="38" t="n"/>
    </row>
    <row r="16" ht="55.2" customHeight="1" s="34">
      <c r="A16" s="19" t="n">
        <v>12</v>
      </c>
      <c r="B16" s="20" t="inlineStr">
        <is>
          <t>TC_ADM_012</t>
        </is>
      </c>
      <c r="C16" s="38" t="inlineStr">
        <is>
          <t>AI Benchmark</t>
        </is>
      </c>
      <c r="D16" s="38" t="inlineStr">
        <is>
          <t>Chạy công cụ đo hiệu năng thuật toán AI (AI Benchmark)</t>
        </is>
      </c>
      <c r="E16" s="38" t="inlineStr">
        <is>
          <t>Admin ở trang /Admin/AiBenchmark</t>
        </is>
      </c>
      <c r="F16" s="38" t="inlineStr">
        <is>
          <t>1. Mở trang Benchmark
2. Chọn thế cờ thử nghiệm
3. Chọn độ sâu Depth (1 đến 5)
4. Bấm "Chạy Benchmark"</t>
        </is>
      </c>
      <c r="G16" s="38" t="inlineStr">
        <is>
          <t>Depth 1-5</t>
        </is>
      </c>
      <c r="H16" s="38" t="inlineStr">
        <is>
          <t>Hệ thống đo và xuất bảng kết quả: Thời gian tính (ms), Tổng số nodes duyệt, Số nhánh cắt tỉa (Cutoffs), Tốc độ nodes/giây.</t>
        </is>
      </c>
      <c r="I16" s="23" t="inlineStr">
        <is>
          <t>Công cụ AI Benchmark đo thời gian tính toán, số nodes duyệt và tốc độ nodes/giây theo độ sâu Depth 1-5.</t>
        </is>
      </c>
      <c r="J16" s="28" t="inlineStr">
        <is>
          <t>Pass</t>
        </is>
      </c>
      <c r="K16" s="25" t="inlineStr">
        <is>
          <t>Medium</t>
        </is>
      </c>
      <c r="L16" s="38" t="n"/>
    </row>
  </sheetData>
  <mergeCells count="2">
    <mergeCell ref="A2:L2"/>
    <mergeCell ref="A1:L1"/>
  </mergeCells>
  <dataValidations count="1">
    <dataValidation sqref="J5:J16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3" workbookViewId="0">
      <selection activeCell="D9" sqref="D9"/>
    </sheetView>
  </sheetViews>
  <sheetFormatPr baseColWidth="8" defaultRowHeight="14.4"/>
  <cols>
    <col width="5.6640625" customWidth="1" style="34" min="1" max="1"/>
    <col width="15.6640625" customWidth="1" style="34" min="2" max="2"/>
    <col width="18.6640625" customWidth="1" style="34" min="3" max="3"/>
    <col width="28.6640625" customWidth="1" style="34" min="4" max="4"/>
    <col width="24.6640625" customWidth="1" style="34" min="5" max="5"/>
    <col width="36.6640625" customWidth="1" style="34" min="6" max="6"/>
    <col width="22.6640625" customWidth="1" style="34" min="7" max="7"/>
    <col width="32.6640625" customWidth="1" style="34" min="8" max="8"/>
    <col width="28.6640625" customWidth="1" style="34" min="9" max="9"/>
    <col width="13.6640625" customWidth="1" style="34" min="10" max="10"/>
    <col width="10.6640625" customWidth="1" style="34" min="11" max="11"/>
    <col width="15.6640625" customWidth="1" style="34" min="12" max="12"/>
  </cols>
  <sheetData>
    <row r="1" ht="24" customHeight="1" s="34">
      <c r="A1" s="62" t="inlineStr">
        <is>
          <t>BỘ KIỂM THỬ ĐẶC THÙ ỨNG DỤNG DI ĐỘNG (MOBILE UI/UX &amp; HARDWARE)</t>
        </is>
      </c>
    </row>
    <row r="2" ht="18" customHeight="1" s="34">
      <c r="A2" s="61" t="inlineStr">
        <is>
          <t>Kiểm tra Cảm ứng chạm/kéo thả quân, Rung Haptic, Âm thanh, Responsive màn hình, Gián đoạn cuộc gọi, Chuyển mạng</t>
        </is>
      </c>
    </row>
    <row r="4" ht="25.95" customHeight="1" s="34">
      <c r="A4" s="18" t="inlineStr">
        <is>
          <t>STT</t>
        </is>
      </c>
      <c r="B4" s="18" t="inlineStr">
        <is>
          <t>Mã Test Case</t>
        </is>
      </c>
      <c r="C4" s="18" t="inlineStr">
        <is>
          <t>Phân hệ / Chức năng</t>
        </is>
      </c>
      <c r="D4" s="18" t="inlineStr">
        <is>
          <t>Mục tiêu kiểm thử (Scenario)</t>
        </is>
      </c>
      <c r="E4" s="18" t="inlineStr">
        <is>
          <t>Điều kiện tiên quyết (Pre-conditions)</t>
        </is>
      </c>
      <c r="F4" s="18" t="inlineStr">
        <is>
          <t>Các bước thực hiện (Test Steps)</t>
        </is>
      </c>
      <c r="G4" s="18" t="inlineStr">
        <is>
          <t>Dữ liệu kiểm thử (Test Data)</t>
        </is>
      </c>
      <c r="H4" s="18" t="inlineStr">
        <is>
          <t>Kết quả mong đợi (Expected Result)</t>
        </is>
      </c>
      <c r="I4" s="22" t="inlineStr">
        <is>
          <t>Kết quả thực tế (Actual Result)</t>
        </is>
      </c>
      <c r="J4" s="22" t="inlineStr">
        <is>
          <t>Trạng thái</t>
        </is>
      </c>
      <c r="K4" s="18" t="inlineStr">
        <is>
          <t>Ưu tiên</t>
        </is>
      </c>
      <c r="L4" s="18" t="inlineStr">
        <is>
          <t>Ghi chú / Bug ID</t>
        </is>
      </c>
    </row>
    <row r="5" ht="41.4" customHeight="1" s="34">
      <c r="A5" s="19" t="n">
        <v>1</v>
      </c>
      <c r="B5" s="20" t="inlineStr">
        <is>
          <t>TC_MOB_001</t>
        </is>
      </c>
      <c r="C5" s="38" t="inlineStr">
        <is>
          <t>Cảm ứng Touch</t>
        </is>
      </c>
      <c r="D5" s="38" t="inlineStr">
        <is>
          <t>Thao tác chạm (Tap) để chọn quân và đi cờ</t>
        </is>
      </c>
      <c r="E5" s="38" t="inlineStr">
        <is>
          <t>Đang trong ván cờ trên điện thoại</t>
        </is>
      </c>
      <c r="F5" s="38" t="inlineStr">
        <is>
          <t>1. Chạm nhẹ ngón tay vào quân Pháo
2. Chạm vào ô đích được chấm tròn gợi ý</t>
        </is>
      </c>
      <c r="G5" s="38" t="inlineStr">
        <is>
          <t>Chạm ngón tay</t>
        </is>
      </c>
      <c r="H5" s="38" t="inlineStr">
        <is>
          <t>Quân cờ được chọn nổi viền sáng vàng, khi chạm ô đích quân cờ di chuyển mượt mà tới ô đó.</t>
        </is>
      </c>
      <c r="I5" s="23" t="inlineStr">
        <is>
          <t>Thao tác chạm (Tap) ngón tay chọn quân nổi viền sáng vàng, chạm ô gợi ý di chuyển mượt mà.</t>
        </is>
      </c>
      <c r="J5" s="28" t="inlineStr">
        <is>
          <t>Pass</t>
        </is>
      </c>
      <c r="K5" s="24" t="inlineStr">
        <is>
          <t>High</t>
        </is>
      </c>
      <c r="L5" s="38" t="n"/>
    </row>
    <row r="6" ht="41.4" customHeight="1" s="34">
      <c r="A6" s="19" t="n">
        <v>2</v>
      </c>
      <c r="B6" s="20" t="inlineStr">
        <is>
          <t>TC_MOB_002</t>
        </is>
      </c>
      <c r="C6" s="38" t="inlineStr">
        <is>
          <t>Kéo thả Drag</t>
        </is>
      </c>
      <c r="D6" s="38" t="inlineStr">
        <is>
          <t>Thao tác kéo thả (Drag &amp; Drop) quân cờ vào ô đích</t>
        </is>
      </c>
      <c r="E6" s="38" t="inlineStr">
        <is>
          <t>Đang trong ván cờ trên điện thoại</t>
        </is>
      </c>
      <c r="F6" s="38" t="inlineStr">
        <is>
          <t>1. Giữ ngón tay vào quân Xe và kéo di chuyển
2. Thả ngón tay vào ô đích</t>
        </is>
      </c>
      <c r="G6" s="38" t="inlineStr">
        <is>
          <t>Kéo và thả</t>
        </is>
      </c>
      <c r="H6" s="38" t="inlineStr">
        <is>
          <t>Quân cờ di chuyển theo ngón tay mượt mà (60fps), khi thả đúng ô hợp lệ thì hạ quân thành công.</t>
        </is>
      </c>
      <c r="I6" s="23" t="inlineStr">
        <is>
          <t>Kéo thả (Drag &amp; Drop) quân cờ bám theo ngón tay 60fps, thả đúng ô hợp lệ hạ quân chuẩn xác.</t>
        </is>
      </c>
      <c r="J6" s="28" t="inlineStr">
        <is>
          <t>Pass</t>
        </is>
      </c>
      <c r="K6" s="24" t="inlineStr">
        <is>
          <t>High</t>
        </is>
      </c>
      <c r="L6" s="38" t="n"/>
    </row>
    <row r="7" ht="27.6" customHeight="1" s="34">
      <c r="A7" s="19" t="n">
        <v>3</v>
      </c>
      <c r="B7" s="20" t="inlineStr">
        <is>
          <t>TC_MOB_003</t>
        </is>
      </c>
      <c r="C7" s="38" t="inlineStr">
        <is>
          <t>Rung Haptic</t>
        </is>
      </c>
      <c r="D7" s="38" t="inlineStr">
        <is>
          <t>Phản hồi rung nhẹ (Haptic Feedback) khi chạm quân</t>
        </is>
      </c>
      <c r="E7" s="38" t="inlineStr">
        <is>
          <t>Bật tính năng rung trong Cài đặt</t>
        </is>
      </c>
      <c r="F7" s="38" t="inlineStr">
        <is>
          <t>1. Chạm vào một quân cờ hợp lệ
2. Cảm nhận độ rung của máy</t>
        </is>
      </c>
      <c r="G7" s="38" t="inlineStr">
        <is>
          <t>Haptic touch</t>
        </is>
      </c>
      <c r="H7" s="38" t="inlineStr">
        <is>
          <t>Điện thoại rung nhẹ phản hồi thao tác chạm (Light Impact).</t>
        </is>
      </c>
      <c r="I7" s="23" t="inlineStr">
        <is>
          <t>Phản hồi rung nhẹ (Light Haptic) khi ngón tay chạm chọn quân cờ hợp lệ.</t>
        </is>
      </c>
      <c r="J7" s="28" t="inlineStr">
        <is>
          <t>Pass</t>
        </is>
      </c>
      <c r="K7" s="25" t="inlineStr">
        <is>
          <t>Medium</t>
        </is>
      </c>
      <c r="L7" s="38" t="n"/>
    </row>
    <row r="8" ht="41.4" customHeight="1" s="34">
      <c r="A8" s="19" t="n">
        <v>4</v>
      </c>
      <c r="B8" s="20" t="inlineStr">
        <is>
          <t>TC_MOB_004</t>
        </is>
      </c>
      <c r="C8" s="38" t="inlineStr">
        <is>
          <t>Rung Haptic</t>
        </is>
      </c>
      <c r="D8" s="38" t="inlineStr">
        <is>
          <t>Phản hồi rung mạnh khi Ăn quân hoặc Chiếu tướng</t>
        </is>
      </c>
      <c r="E8" s="38" t="inlineStr">
        <is>
          <t>Tính năng rung đang bật</t>
        </is>
      </c>
      <c r="F8" s="38" t="inlineStr">
        <is>
          <t>1. Đi nước cờ ăn quân đối phương hoặc Chiếu tướng
2. Cảm nhận độ rung</t>
        </is>
      </c>
      <c r="G8" s="38" t="inlineStr">
        <is>
          <t>Heavy impact</t>
        </is>
      </c>
      <c r="H8" s="38" t="inlineStr">
        <is>
          <t>Điện thoại rung mạnh rõ ràng (Heavy Impact) tạo cảm giác uy lực của nước cờ sát thương.</t>
        </is>
      </c>
      <c r="I8" s="23" t="inlineStr">
        <is>
          <t>Phản hồi rung mạnh (Heavy Haptic) khi thực hiện nước ăn quân hoặc Chiếu tướng.</t>
        </is>
      </c>
      <c r="J8" s="28" t="inlineStr">
        <is>
          <t>Pass</t>
        </is>
      </c>
      <c r="K8" s="25" t="inlineStr">
        <is>
          <t>Medium</t>
        </is>
      </c>
      <c r="L8" s="38" t="n"/>
    </row>
    <row r="9" ht="55.2" customHeight="1" s="34">
      <c r="A9" s="19" t="n">
        <v>5</v>
      </c>
      <c r="B9" s="20" t="inlineStr">
        <is>
          <t>TC_MOB_005</t>
        </is>
      </c>
      <c r="C9" s="38" t="inlineStr">
        <is>
          <t>Âm thanh</t>
        </is>
      </c>
      <c r="D9" s="38" t="inlineStr">
        <is>
          <t>Hiệu ứng âm thanh đặt quân, ăn quân và chiếu tướng</t>
        </is>
      </c>
      <c r="E9" s="38" t="inlineStr">
        <is>
          <t>Bật âm thanh ứng dụng</t>
        </is>
      </c>
      <c r="F9" s="38" t="inlineStr">
        <is>
          <t>1. Đi một nước cờ bình thường -&gt; Nghe âm thanh đặt quân
2. Đi nước ăn quân -&gt; Nghe âm ăn quân
3. Chiếu tướng -&gt; Nghe tiếng chuông chiếu</t>
        </is>
      </c>
      <c r="G9" s="38" t="inlineStr">
        <is>
          <t>Sound effects</t>
        </is>
      </c>
      <c r="H9" s="38" t="inlineStr">
        <is>
          <t>Âm thanh phát chuẩn xác, không bị trễ tiếng, tiếng gõ quân cờ đanh vang chân thực.</t>
        </is>
      </c>
      <c r="I9" s="23" t="inlineStr">
        <is>
          <t>Hiệu ứng âm thanh gõ quân cờ, ăn quân và tiếng chuông chiếu tướng phát đanh vang chân thực.</t>
        </is>
      </c>
      <c r="J9" s="28" t="inlineStr">
        <is>
          <t>Pass</t>
        </is>
      </c>
      <c r="K9" s="25" t="inlineStr">
        <is>
          <t>Medium</t>
        </is>
      </c>
      <c r="L9" s="38" t="n"/>
    </row>
    <row r="10" ht="41.4" customHeight="1" s="34">
      <c r="A10" s="19" t="n">
        <v>6</v>
      </c>
      <c r="B10" s="20" t="inlineStr">
        <is>
          <t>TC_MOB_006</t>
        </is>
      </c>
      <c r="C10" s="38" t="inlineStr">
        <is>
          <t>Cài đặt</t>
        </is>
      </c>
      <c r="D10" s="38" t="inlineStr">
        <is>
          <t>Bật / Tắt âm thanh và rung trong màn hình Cài đặt</t>
        </is>
      </c>
      <c r="E10" s="38" t="inlineStr">
        <is>
          <t>Mở menu Cài đặt (Settings)</t>
        </is>
      </c>
      <c r="F10" s="38" t="inlineStr">
        <is>
          <t>1. Tắt công tắc "Âm thanh"
2. Tắt công tắc "Rung"
3. Quay lại ván cờ đi thử</t>
        </is>
      </c>
      <c r="G10" s="38" t="inlineStr">
        <is>
          <t>Switch Off</t>
        </is>
      </c>
      <c r="H10" s="38" t="inlineStr">
        <is>
          <t>Khi đi cờ không còn phát ra âm thanh và không còn rung.</t>
        </is>
      </c>
      <c r="I10" s="23" t="inlineStr">
        <is>
          <t>Menu Cài đặt: Tắt công tắc 'Âm thanh' và 'Rung' vô hiệu hóa hoàn toàn âm và rung khi đi cờ.</t>
        </is>
      </c>
      <c r="J10" s="28" t="inlineStr">
        <is>
          <t>Pass</t>
        </is>
      </c>
      <c r="K10" s="25" t="inlineStr">
        <is>
          <t>Medium</t>
        </is>
      </c>
      <c r="L10" s="38" t="n"/>
    </row>
    <row r="11" ht="41.4" customHeight="1" s="34">
      <c r="A11" s="19" t="n">
        <v>7</v>
      </c>
      <c r="B11" s="20" t="inlineStr">
        <is>
          <t>TC_MOB_007</t>
        </is>
      </c>
      <c r="C11" s="38" t="inlineStr">
        <is>
          <t>Responsive</t>
        </is>
      </c>
      <c r="D11" s="38" t="inlineStr">
        <is>
          <t>Hiển thị vừa vặn trên các kích thước màn hình điện thoại khác nhau</t>
        </is>
      </c>
      <c r="E11" s="38" t="inlineStr">
        <is>
          <t>Cài đặt app trên nhiều dòng máy (màn hình nhỏ 5.5 inch đến lớn 6.7 inch)</t>
        </is>
      </c>
      <c r="F11" s="38" t="inlineStr">
        <is>
          <t>1. Mở ứng dụng trên máy nhỏ và máy lớn
2. Kiểm tra bàn cờ và các menu</t>
        </is>
      </c>
      <c r="G11" s="38" t="inlineStr">
        <is>
          <t>Màn hình đa dạng</t>
        </is>
      </c>
      <c r="H11" s="38" t="inlineStr">
        <is>
          <t>Bàn cờ tự co giãn cân đối theo chiều rộng màn hình, không bị tràn viền, không bị lỗi RenderFlex Overflow đỏ.</t>
        </is>
      </c>
      <c r="I11" s="23" t="inlineStr">
        <is>
          <t>Giao diện Responsive tự co giãn vừa vặn các kích thước màn hình điện thoại, không bị lỗi tràn viền.</t>
        </is>
      </c>
      <c r="J11" s="28" t="inlineStr">
        <is>
          <t>Pass</t>
        </is>
      </c>
      <c r="K11" s="24" t="inlineStr">
        <is>
          <t>High</t>
        </is>
      </c>
      <c r="L11" s="38" t="n"/>
    </row>
    <row r="12" ht="41.4" customHeight="1" s="34">
      <c r="A12" s="19" t="n">
        <v>8</v>
      </c>
      <c r="B12" s="20" t="inlineStr">
        <is>
          <t>TC_MOB_008</t>
        </is>
      </c>
      <c r="C12" s="38" t="inlineStr">
        <is>
          <t>Giao diện Tablet</t>
        </is>
      </c>
      <c r="D12" s="38" t="inlineStr">
        <is>
          <t>Hiển thị trên máy tính bảng (Tablet / iPad)</t>
        </is>
      </c>
      <c r="E12" s="38" t="inlineStr">
        <is>
          <t>Mở app trên màn hình Tablet tỷ lệ 4:3 hoặc 16:10</t>
        </is>
      </c>
      <c r="F12" s="38" t="inlineStr">
        <is>
          <t>1. Khởi chạy app trên máy tính bảng
2. Quan sát bố cục giao diện</t>
        </is>
      </c>
      <c r="G12" s="38" t="inlineStr">
        <is>
          <t>Tablet layout</t>
        </is>
      </c>
      <c r="H12" s="38" t="inlineStr">
        <is>
          <t>Bàn cờ hiển thị kích thước lớn rõ nét, các nút điều khiển bố trí hài hòa không bị kéo giãn méo mó.</t>
        </is>
      </c>
      <c r="I12" s="23" t="inlineStr">
        <is>
          <t>Giao diện trên máy tính bảng (Tablet/iPad) hiển thị bàn cờ lớn sắc nét, bố cục nút điều khiển hài hòa.</t>
        </is>
      </c>
      <c r="J12" s="28" t="inlineStr">
        <is>
          <t>Pass</t>
        </is>
      </c>
      <c r="K12" s="25" t="inlineStr">
        <is>
          <t>Medium</t>
        </is>
      </c>
      <c r="L12" s="38" t="n"/>
    </row>
    <row r="13" ht="41.4" customHeight="1" s="34">
      <c r="A13" s="19" t="n">
        <v>9</v>
      </c>
      <c r="B13" s="20" t="inlineStr">
        <is>
          <t>TC_MOB_009</t>
        </is>
      </c>
      <c r="C13" s="38" t="inlineStr">
        <is>
          <t>Xoay màn hình</t>
        </is>
      </c>
      <c r="D13" s="38" t="inlineStr">
        <is>
          <t>Khóa hướng dọc cố định hoặc hỗ trợ xoay ngang ổn định</t>
        </is>
      </c>
      <c r="E13" s="38" t="inlineStr">
        <is>
          <t>Đang ở màn hình bàn cờ</t>
        </is>
      </c>
      <c r="F13" s="38" t="inlineStr">
        <is>
          <t>1. Xoay ngang điện thoại
2. Quan sát phản hồi</t>
        </is>
      </c>
      <c r="G13" s="38" t="inlineStr">
        <is>
          <t>Xoay máy</t>
        </is>
      </c>
      <c r="H13" s="38" t="inlineStr">
        <is>
          <t>Giao diện giữ hướng dọc chuẩn hoặc xoay sang layout ngang chia 2 cột mà không bị crash.</t>
        </is>
      </c>
      <c r="I13" s="23" t="inlineStr">
        <is>
          <t>Xoay ngang màn hình giữ vững cấu trúc hoặc chuyển sang layout 2 cột ổn định không bị crash.</t>
        </is>
      </c>
      <c r="J13" s="28" t="inlineStr">
        <is>
          <t>Pass</t>
        </is>
      </c>
      <c r="K13" s="25" t="inlineStr">
        <is>
          <t>Medium</t>
        </is>
      </c>
      <c r="L13" s="38" t="n"/>
    </row>
    <row r="14" ht="41.4" customHeight="1" s="34">
      <c r="A14" s="19" t="n">
        <v>10</v>
      </c>
      <c r="B14" s="20" t="inlineStr">
        <is>
          <t>TC_MOB_010</t>
        </is>
      </c>
      <c r="C14" s="38" t="inlineStr">
        <is>
          <t>Gián đoạn cuộc gọi</t>
        </is>
      </c>
      <c r="D14" s="38" t="inlineStr">
        <is>
          <t>Xử lý khi có Cuộc gọi đến khi đang thi đấu ván cờ</t>
        </is>
      </c>
      <c r="E14" s="38" t="inlineStr">
        <is>
          <t>Đang chơi cờ trên điện thoại</t>
        </is>
      </c>
      <c r="F14" s="38" t="inlineStr">
        <is>
          <t>1. Dùng máy khác gọi tới số điện thoại đang test
2. Từ chối cuộc gọi và quay lại ứng dụng</t>
        </is>
      </c>
      <c r="G14" s="38" t="inlineStr">
        <is>
          <t>Cuộc gọi đến</t>
        </is>
      </c>
      <c r="H14" s="38" t="inlineStr">
        <is>
          <t>Ván cờ vẫn giữ nguyên vẹn trạng thái thế cờ, không bị thoát game, tiếp tục đánh bình thường.</t>
        </is>
      </c>
      <c r="I14" s="23" t="inlineStr">
        <is>
          <t>Xử lý cuộc gọi đến gián đoạn: Từ chối cuộc gọi quay lại app giữ nguyên vẹn thế cờ đang thi đấu.</t>
        </is>
      </c>
      <c r="J14" s="28" t="inlineStr">
        <is>
          <t>Pass</t>
        </is>
      </c>
      <c r="K14" s="24" t="inlineStr">
        <is>
          <t>High</t>
        </is>
      </c>
      <c r="L14" s="38" t="n"/>
    </row>
    <row r="15" ht="55.2" customHeight="1" s="34">
      <c r="A15" s="19" t="n">
        <v>11</v>
      </c>
      <c r="B15" s="20" t="inlineStr">
        <is>
          <t>TC_MOB_011</t>
        </is>
      </c>
      <c r="C15" s="38" t="inlineStr">
        <is>
          <t>App chạy ngầm</t>
        </is>
      </c>
      <c r="D15" s="38" t="inlineStr">
        <is>
          <t>Chuyển ứng dụng xuống nền (Background) và mở lại</t>
        </is>
      </c>
      <c r="E15" s="38" t="inlineStr">
        <is>
          <t>Đang trong ván cờ</t>
        </is>
      </c>
      <c r="F15" s="38" t="inlineStr">
        <is>
          <t>1. Nhấn nút Home đưa app xuống chạy ngầm
2. Mở app khác lướt 10 giây
3. Mở lại app Cờ Tướng</t>
        </is>
      </c>
      <c r="G15" s="38" t="inlineStr">
        <is>
          <t>App lifecycle</t>
        </is>
      </c>
      <c r="H15" s="38" t="inlineStr">
        <is>
          <t>Ứng dụng phục hồi ngay lập tức thế cờ, không bị tải lại từ đầu.</t>
        </is>
      </c>
      <c r="I15" s="23" t="inlineStr">
        <is>
          <t>Chuyển app xuống chạy ngầm (Background) 10 giây và mở lại phục hồi tức thì không bị tải lại.</t>
        </is>
      </c>
      <c r="J15" s="28" t="inlineStr">
        <is>
          <t>Pass</t>
        </is>
      </c>
      <c r="K15" s="24" t="inlineStr">
        <is>
          <t>High</t>
        </is>
      </c>
      <c r="L15" s="38" t="n"/>
    </row>
    <row r="16" ht="41.4" customHeight="1" s="34">
      <c r="A16" s="19" t="n">
        <v>12</v>
      </c>
      <c r="B16" s="20" t="inlineStr">
        <is>
          <t>TC_MOB_012</t>
        </is>
      </c>
      <c r="C16" s="38" t="inlineStr">
        <is>
          <t>Chuyển mạng</t>
        </is>
      </c>
      <c r="D16" s="38" t="inlineStr">
        <is>
          <t>Chuyển đổi kết nối mạng giữa Wifi và 4G/5G khi đấu Online</t>
        </is>
      </c>
      <c r="E16" s="38" t="inlineStr">
        <is>
          <t>Đang trong trận đấu Online SignalR</t>
        </is>
      </c>
      <c r="F16" s="38" t="inlineStr">
        <is>
          <t>1. Tắt Wifi để điện thoại tự chuyển sang 4G
2. Quan sát kết nối bàn cờ</t>
        </is>
      </c>
      <c r="G16" s="38" t="inlineStr">
        <is>
          <t>Wifi -&gt; 4G</t>
        </is>
      </c>
      <c r="H16" s="38" t="inlineStr">
        <is>
          <t>SignalR tự động khôi phục kết nối trong 2-3 giây, ván cờ tiếp tục bình thường mà không bị xử thua.</t>
        </is>
      </c>
      <c r="I16" s="23" t="inlineStr">
        <is>
          <t>Chuyển mạng đột ngột giữa Wifi và 4G/5G: SignalR tự khôi phục kết nối trong 2-3s không làm gián đoạn ván cờ.</t>
        </is>
      </c>
      <c r="J16" s="28" t="inlineStr">
        <is>
          <t>Pass</t>
        </is>
      </c>
      <c r="K16" s="24" t="inlineStr">
        <is>
          <t>High</t>
        </is>
      </c>
      <c r="L16" s="38" t="n"/>
    </row>
  </sheetData>
  <mergeCells count="2">
    <mergeCell ref="A2:L2"/>
    <mergeCell ref="A1:L1"/>
  </mergeCells>
  <dataValidations count="1">
    <dataValidation sqref="J5:J16" showDropDown="0" showInputMessage="1" showErrorMessage="1" allowBlank="1" errorTitle="Giá trị không hợp lệ" error="Chỉ chọn trong danh sách: Pass, Fail, Blocked, Untested" promptTitle="Trạng thái:" prompt="Chọn Pass, Fail, Blocked hoặc Untested" type="list">
      <formula1>"Pass,Fail,Blocked,Untested"</formula1>
    </dataValidation>
  </dataValidations>
  <printOptions gridLines="1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tabSelected="1" topLeftCell="E1" workbookViewId="0">
      <selection activeCell="H13" sqref="H13"/>
    </sheetView>
  </sheetViews>
  <sheetFormatPr baseColWidth="8" defaultRowHeight="14.4"/>
  <cols>
    <col width="6.6640625" customWidth="1" style="34" min="1" max="1"/>
    <col width="12.6640625" customWidth="1" style="34" min="2" max="2"/>
    <col width="32.6640625" customWidth="1" style="34" min="3" max="3"/>
    <col width="20.6640625" customWidth="1" style="34" min="4" max="4"/>
    <col width="18.6640625" customWidth="1" style="34" min="5" max="5"/>
    <col width="16.6640625" customWidth="1" style="34" min="6" max="6"/>
    <col width="38.6640625" customWidth="1" style="34" min="7" max="7"/>
    <col width="34" customWidth="1" style="34" min="8" max="8"/>
    <col width="30.6640625" customWidth="1" style="34" min="9" max="9"/>
    <col width="20.6640625" customWidth="1" style="34" min="10" max="10"/>
    <col width="16.6640625" customWidth="1" style="34" min="11" max="11"/>
    <col width="14.6640625" customWidth="1" style="34" min="12" max="12"/>
  </cols>
  <sheetData>
    <row r="1" ht="24" customHeight="1" s="34">
      <c r="A1" s="62" t="inlineStr">
        <is>
          <t>BẢNG GHI NHẬN &amp; THEO DÕI LỖI (DEFECT / BUG TRACKING LOG)</t>
        </is>
      </c>
    </row>
    <row r="2" ht="18" customHeight="1" s="34">
      <c r="A2" s="61" t="inlineStr">
        <is>
          <t>Dành cho Tester ghi nhận chi tiết các lỗi phát sinh trong quá trình kiểm thử phần mềm</t>
        </is>
      </c>
    </row>
    <row r="4" ht="25.95" customHeight="1" s="34">
      <c r="A4" s="18" t="inlineStr">
        <is>
          <t>STT</t>
        </is>
      </c>
      <c r="B4" s="18" t="inlineStr">
        <is>
          <t>Bug ID</t>
        </is>
      </c>
      <c r="C4" s="18" t="inlineStr">
        <is>
          <t>Tiêu đề lỗi tóm tắt</t>
        </is>
      </c>
      <c r="D4" s="18" t="inlineStr">
        <is>
          <t>Phân hệ phát sinh</t>
        </is>
      </c>
      <c r="E4" s="18" t="inlineStr">
        <is>
          <t>Mức độ nghiêm trọng (Severity)</t>
        </is>
      </c>
      <c r="F4" s="18" t="inlineStr">
        <is>
          <t>Mức độ ưu tiên (Priority)</t>
        </is>
      </c>
      <c r="G4" s="18" t="inlineStr">
        <is>
          <t>Các bước tái hiện (Steps to Reproduce)</t>
        </is>
      </c>
      <c r="H4" s="18" t="inlineStr">
        <is>
          <t>Kết quả mong đợi</t>
        </is>
      </c>
      <c r="I4" s="18" t="inlineStr">
        <is>
          <t>Kết quả thực tế bị lỗi</t>
        </is>
      </c>
      <c r="J4" s="18" t="inlineStr">
        <is>
          <t>Ảnh màn hình / Log</t>
        </is>
      </c>
      <c r="K4" s="18" t="inlineStr">
        <is>
          <t>Người phát hiện</t>
        </is>
      </c>
      <c r="L4" s="18" t="inlineStr">
        <is>
          <t>Trạng thái</t>
        </is>
      </c>
    </row>
    <row r="5" ht="28.05" customHeight="1" s="34">
      <c r="A5" s="19" t="n">
        <v>1</v>
      </c>
      <c r="B5" s="20" t="inlineStr">
        <is>
          <t>BUG_001</t>
        </is>
      </c>
      <c r="C5" s="38" t="inlineStr">
        <is>
          <t>Cho phép đăng ký mật khẩu yếu dưới 6 ký tự qua API</t>
        </is>
      </c>
      <c r="D5" s="38" t="inlineStr">
        <is>
          <t>Xác thực &amp; Tài khoản (04_TC_Auth_Profile)</t>
        </is>
      </c>
      <c r="E5" s="38" t="inlineStr">
        <is>
          <t>P2 - Major</t>
        </is>
      </c>
      <c r="F5" s="38" t="inlineStr">
        <is>
          <t>High</t>
        </is>
      </c>
      <c r="G5" s="38" t="inlineStr">
        <is>
          <t>1. Gửi POST /api/auth/register
2. Body chứa password = '123'
3. Kiểm tra mã phản hồi</t>
        </is>
      </c>
      <c r="H5" s="38" t="inlineStr">
        <is>
          <t>HTTP 400 Bad Request, báo lỗi mật khẩu phải &gt;= 6 ký tự</t>
        </is>
      </c>
      <c r="I5" s="38" t="inlineStr">
        <is>
          <t>HTTP 200 OK, hệ thống tạo tài khoản thành công với mật khẩu 3 ký tự</t>
        </is>
      </c>
      <c r="J5" s="38" t="inlineStr">
        <is>
          <t>E2E_SCREENSHOTS/TC_AUTH_004.png</t>
        </is>
      </c>
      <c r="K5" s="38" t="inlineStr">
        <is>
          <t>Tester độc lập</t>
        </is>
      </c>
      <c r="L5" s="29" t="inlineStr">
        <is>
          <t>Open</t>
        </is>
      </c>
    </row>
    <row r="6" ht="28.05" customHeight="1" s="34">
      <c r="A6" s="19" t="n">
        <v>2</v>
      </c>
      <c r="B6" s="20" t="inlineStr">
        <is>
          <t>BUG_002</t>
        </is>
      </c>
      <c r="C6" s="38" t="inlineStr">
        <is>
          <t>Thiếu Regex kiểm tra định dạng Email khi đăng ký tài khoản</t>
        </is>
      </c>
      <c r="D6" s="38" t="inlineStr">
        <is>
          <t>Xác thực &amp; Tài khoản (04_TC_Auth_Profile)</t>
        </is>
      </c>
      <c r="E6" s="38" t="inlineStr">
        <is>
          <t>P2 - Major</t>
        </is>
      </c>
      <c r="F6" s="38" t="inlineStr">
        <is>
          <t>Medium</t>
        </is>
      </c>
      <c r="G6" s="38" t="inlineStr">
        <is>
          <t>1. Gửi POST /api/auth/register
2. Body email = 'not_an_email_at_all' (không có @ và domain)
3. Bấm đăng ký</t>
        </is>
      </c>
      <c r="H6" s="38" t="inlineStr">
        <is>
          <t>HTTP 400 Bad Request, từ chối định dạng email không hợp lệ</t>
        </is>
      </c>
      <c r="I6" s="38" t="inlineStr">
        <is>
          <t>HTTP 200 OK, tài khoản vẫn được tạo với email rác trong CSDL</t>
        </is>
      </c>
      <c r="J6" s="38" t="inlineStr">
        <is>
          <t>E2E_SCREENSHOTS/TC_AUTH_001.png</t>
        </is>
      </c>
      <c r="K6" s="38" t="inlineStr">
        <is>
          <t>Tester độc lập</t>
        </is>
      </c>
      <c r="L6" s="29" t="inlineStr">
        <is>
          <t>Open</t>
        </is>
      </c>
    </row>
    <row r="7" ht="28.05" customHeight="1" s="34">
      <c r="A7" s="19" t="n">
        <v>3</v>
      </c>
      <c r="B7" s="20" t="inlineStr">
        <is>
          <t>BUG_003</t>
        </is>
      </c>
      <c r="C7" s="38" t="inlineStr">
        <is>
          <t>Truy cập /Admin khi chưa phân quyền trả về 302 Redirect thay vì 403 Forbidden</t>
        </is>
      </c>
      <c r="D7" s="38" t="inlineStr">
        <is>
          <t>Phân hệ Quản trị viên (10_TC_Admin_System)</t>
        </is>
      </c>
      <c r="E7" s="38" t="inlineStr">
        <is>
          <t>P2 - Major</t>
        </is>
      </c>
      <c r="F7" s="38" t="inlineStr">
        <is>
          <t>High</t>
        </is>
      </c>
      <c r="G7" s="38" t="inlineStr">
        <is>
          <t>1. Người dùng chưa đăng nhập hoặc role User truy cập URL /Admin
2. Kiểm tra HTTP Status Code trả về</t>
        </is>
      </c>
      <c r="H7" s="38" t="inlineStr">
        <is>
          <t>HTTP 403 Forbidden (hoặc trang Access Denied 403)</t>
        </is>
      </c>
      <c r="I7" s="38" t="inlineStr">
        <is>
          <t>HTTP 302 Found, chuyển hướng (Redirect) về /Auth/Login?ReturnUrl=%2FAdmin</t>
        </is>
      </c>
      <c r="J7" s="38" t="inlineStr">
        <is>
          <t>E2E_SCREENSHOTS/TC_ADM_002.png</t>
        </is>
      </c>
      <c r="K7" s="38" t="inlineStr">
        <is>
          <t>Tester độc lập</t>
        </is>
      </c>
      <c r="L7" s="29" t="inlineStr">
        <is>
          <t>Open</t>
        </is>
      </c>
    </row>
    <row r="8" ht="28.05" customHeight="1" s="34">
      <c r="A8" s="19" t="n">
        <v>4</v>
      </c>
      <c r="B8" s="20" t="inlineStr">
        <is>
          <t>BUG_004</t>
        </is>
      </c>
      <c r="C8" s="38" t="inlineStr">
        <is>
          <t>Vẫn cho phép đi quân cờ sau khi người chơi đã bấm Xin hàng (Surrender)</t>
        </is>
      </c>
      <c r="D8" s="38" t="inlineStr">
        <is>
          <t>Đấu trực tuyến &amp; Vận hành ván cờ (07_TC_Online_SignalR)</t>
        </is>
      </c>
      <c r="E8" s="38" t="inlineStr">
        <is>
          <t>P1 - Blocker</t>
        </is>
      </c>
      <c r="F8" s="38" t="inlineStr">
        <is>
          <t>High</t>
        </is>
      </c>
      <c r="G8" s="38" t="inlineStr">
        <is>
          <t>1. Tạo ván cờ mới
2. Bên Đỏ gọi POST /api/games/{id}/surrender
3. Bên Đỏ tiếp tục gửi nước đi POST /api/games/{id}/moves</t>
        </is>
      </c>
      <c r="H8" s="38" t="inlineStr">
        <is>
          <t>HTTP 400 Bad Request, ván cờ đã kết thúc không thể đi thêm nước cờ</t>
        </is>
      </c>
      <c r="I8" s="38" t="inlineStr">
        <is>
          <t>HTTP 200 OK, server tiếp tục nhận nước cờ và đổi trạng thái về InProgress</t>
        </is>
      </c>
      <c r="J8" s="38" t="inlineStr">
        <is>
          <t>E2E_SCREENSHOTS/TC_ONL_015.png</t>
        </is>
      </c>
      <c r="K8" s="38" t="inlineStr">
        <is>
          <t>Tester độc lập</t>
        </is>
      </c>
      <c r="L8" s="29" t="inlineStr">
        <is>
          <t>Open</t>
        </is>
      </c>
    </row>
    <row r="9" ht="28.05" customHeight="1" s="34">
      <c r="A9" s="19" t="n">
        <v>5</v>
      </c>
      <c r="B9" s="20" t="inlineStr">
        <is>
          <t>BUG_005</t>
        </is>
      </c>
      <c r="C9" s="38" t="inlineStr">
        <is>
          <t>Cấp Chứng chỉ tốt nghiệp cho người dùng chưa hoàn thành khóa học (0% tiến độ)</t>
        </is>
      </c>
      <c r="D9" s="38" t="inlineStr">
        <is>
          <t>Học viện &amp; Kỳ phổ (09_TC_Course_Master)</t>
        </is>
      </c>
      <c r="E9" s="38" t="inlineStr">
        <is>
          <t>P2 - Major</t>
        </is>
      </c>
      <c r="F9" s="38" t="inlineStr">
        <is>
          <t>High</t>
        </is>
      </c>
      <c r="G9" s="38" t="inlineStr">
        <is>
          <t>1. Người dùng mới tạo chưa học bài nào
2. Truy cập trực tiếp /Course/Certificate?courseId=1
3. Kiểm tra trang hiển thị</t>
        </is>
      </c>
      <c r="H9" s="38" t="inlineStr">
        <is>
          <t>Từ chối cấp chứng chỉ, thông báo học viên cần hoàn thành 100% khóa học</t>
        </is>
      </c>
      <c r="I9" s="38" t="inlineStr">
        <is>
          <t>HTTP 200 OK, hệ thống vẫn kết xuất chứng chỉ tốt nghiệp hoàn chỉnh</t>
        </is>
      </c>
      <c r="J9" s="38" t="inlineStr">
        <is>
          <t>E2E_SCREENSHOTS/TC_COU_009.png</t>
        </is>
      </c>
      <c r="K9" s="38" t="inlineStr">
        <is>
          <t>Tester độc lập</t>
        </is>
      </c>
      <c r="L9" s="29" t="inlineStr">
        <is>
          <t>Open</t>
        </is>
      </c>
    </row>
    <row r="10" ht="28.05" customHeight="1" s="34">
      <c r="A10" s="19" t="n">
        <v>6</v>
      </c>
      <c r="B10" s="20" t="inlineStr">
        <is>
          <t>BUG_006</t>
        </is>
      </c>
      <c r="C10" s="38" t="inlineStr">
        <is>
          <t>API tiến độ khóa học không chặn ngưỡng điểm Quiz (Chấp nhận điểm 999999%)</t>
        </is>
      </c>
      <c r="D10" s="38" t="inlineStr">
        <is>
          <t>Học viện &amp; Kỳ phổ (09_TC_Course_Master)</t>
        </is>
      </c>
      <c r="E10" s="38" t="inlineStr">
        <is>
          <t>P3 - Minor</t>
        </is>
      </c>
      <c r="F10" s="38" t="inlineStr">
        <is>
          <t>Medium</t>
        </is>
      </c>
      <c r="G10" s="38" t="inlineStr">
        <is>
          <t>1. Gửi POST /api/courses/progress với quizScore = 999999
2. Kiểm tra phản hồi máy chủ</t>
        </is>
      </c>
      <c r="H10" s="38" t="inlineStr">
        <is>
          <t>HTTP 400 Bad Request, điểm số Quiz phải nằm trong khoảng 0 đến 100%</t>
        </is>
      </c>
      <c r="I10" s="38" t="inlineStr">
        <is>
          <t>HTTP 200 OK, máy chủ lưu nguyên vẹn bestQuizScore = 999999</t>
        </is>
      </c>
      <c r="J10" s="38" t="inlineStr">
        <is>
          <t>E2E_SCREENSHOTS/TC_COU_008.png</t>
        </is>
      </c>
      <c r="K10" s="38" t="inlineStr">
        <is>
          <t>Tester độc lập</t>
        </is>
      </c>
      <c r="L10" s="29" t="inlineStr">
        <is>
          <t>Open</t>
        </is>
      </c>
    </row>
    <row r="11" ht="28.05" customHeight="1" s="34">
      <c r="A11" s="19" t="n">
        <v>7</v>
      </c>
      <c r="B11" s="20" t="inlineStr">
        <is>
          <t>BUG_007</t>
        </is>
      </c>
      <c r="C11" s="38" t="inlineStr">
        <is>
          <t>Chức năng Xóa bài cờ thế trong Admin trả về HTTP 200 khi ID không tồn tại</t>
        </is>
      </c>
      <c r="D11" s="38" t="inlineStr">
        <is>
          <t>Phân hệ Quản trị viên (10_TC_Admin_System)</t>
        </is>
      </c>
      <c r="E11" s="38" t="inlineStr">
        <is>
          <t>P3 - Minor</t>
        </is>
      </c>
      <c r="F11" s="38" t="inlineStr">
        <is>
          <t>Low</t>
        </is>
      </c>
      <c r="G11" s="38" t="inlineStr">
        <is>
          <t>1. Gửi POST /Admin/DeletePuzzle với id = 999999 không có trong CSDL
2. Kiểm tra mã phản hồi</t>
        </is>
      </c>
      <c r="H11" s="38" t="inlineStr">
        <is>
          <t>HTTP 404 Not Found hoặc báo lỗi không tìm thấy bài cờ cần xóa</t>
        </is>
      </c>
      <c r="I11" s="38" t="inlineStr">
        <is>
          <t>HTTP 200 OK (hoặc redirect thành công) gây sai lệch trạng thái CMS</t>
        </is>
      </c>
      <c r="J11" s="38" t="inlineStr">
        <is>
          <t>E2E_SCREENSHOTS/TC_ADM_009.png</t>
        </is>
      </c>
      <c r="K11" s="38" t="inlineStr">
        <is>
          <t>Tester độc lập</t>
        </is>
      </c>
      <c r="L11" s="29" t="inlineStr">
        <is>
          <t>Open</t>
        </is>
      </c>
    </row>
    <row r="12" ht="28.05" customHeight="1" s="34">
      <c r="A12" s="64" t="n">
        <v>8</v>
      </c>
      <c r="B12" s="65" t="inlineStr">
        <is>
          <t>BUG_008</t>
        </is>
      </c>
      <c r="C12" s="66" t="inlineStr">
        <is>
          <t>Rò rỉ mã OTP đặt lại mật khẩu trực tiếp lên giao diện khi lỗi SMTP</t>
        </is>
      </c>
      <c r="D12" s="66" t="inlineStr">
        <is>
          <t>Xác thực &amp; Tài khoản (04_TC_Auth_Profile)</t>
        </is>
      </c>
      <c r="E12" s="64" t="inlineStr">
        <is>
          <t>P1 - Blocker</t>
        </is>
      </c>
      <c r="F12" s="64" t="inlineStr">
        <is>
          <t>High</t>
        </is>
      </c>
      <c r="G12" s="66" t="inlineStr">
        <is>
          <t>1. Truy cập trang /Auth/ForgotPassword
2. Nhập email của người dùng bất kỳ
3. Bấm Gửi mã xác nhận</t>
        </is>
      </c>
      <c r="H12" s="66" t="inlineStr">
        <is>
          <t>Ẩn thông tin nhạy cảm, thông báo lỗi hệ thống và không tiết lộ mã OTP</t>
        </is>
      </c>
      <c r="I12" s="66" t="inlineStr">
        <is>
          <t>TempData["OtpMessage"] và giao diện in thẳng "MÃ OTP CỦA BẠN LÀ: xxxxxx", cho phép chiếm quyền tài khoản</t>
        </is>
      </c>
      <c r="J12" s="66" t="inlineStr">
        <is>
          <t>E2E_SCREENSHOTS/TC_AUTH_011.png</t>
        </is>
      </c>
      <c r="K12" s="64" t="inlineStr">
        <is>
          <t>Tester độc lập</t>
        </is>
      </c>
      <c r="L12" s="67" t="inlineStr">
        <is>
          <t>Open</t>
        </is>
      </c>
    </row>
    <row r="13" ht="28.05" customHeight="1" s="34">
      <c r="A13" s="64" t="n">
        <v>9</v>
      </c>
      <c r="B13" s="65" t="inlineStr">
        <is>
          <t>BUG_009</t>
        </is>
      </c>
      <c r="C13" s="66" t="inlineStr">
        <is>
          <t>Nhận thưởng nhiệm vụ ngày không kiểm tra điều kiện hoàn thành và cho phép spam nhận thưởng liên tục</t>
        </is>
      </c>
      <c r="D13" s="66" t="inlineStr">
        <is>
          <t>Xác thực &amp; Tài khoản (04_TC_Auth_Profile)</t>
        </is>
      </c>
      <c r="E13" s="64" t="inlineStr">
        <is>
          <t>P2 - Major</t>
        </is>
      </c>
      <c r="F13" s="64" t="inlineStr">
        <is>
          <t>High</t>
        </is>
      </c>
      <c r="G13" s="66" t="inlineStr">
        <is>
          <t>1. Gửi POST /api/quests/{id}/claim khi chưa hoàn thành nhiệm vụ
2. Gửi tiếp nhiều request claim liên tục</t>
        </is>
      </c>
      <c r="H13" s="66" t="inlineStr">
        <is>
          <t>HTTP 400 Bad Request, từ chối nhận thưởng khi chưa đạt điều kiện hoặc đã nhận</t>
        </is>
      </c>
      <c r="I13" s="66" t="inlineStr">
        <is>
          <t>HTTP 200 OK, cộng điểm PuzzleScore vô hạn lần và lưu trạng thái tạm trong RAM</t>
        </is>
      </c>
      <c r="J13" s="66" t="inlineStr">
        <is>
          <t>E2E_SCREENSHOTS/TC_AUTH_016.png</t>
        </is>
      </c>
      <c r="K13" s="64" t="inlineStr">
        <is>
          <t>Tester độc lập</t>
        </is>
      </c>
      <c r="L13" s="67" t="inlineStr">
        <is>
          <t>Open</t>
        </is>
      </c>
    </row>
    <row r="14" ht="28.05" customHeight="1" s="34">
      <c r="A14" s="64" t="n">
        <v>10</v>
      </c>
      <c r="B14" s="65" t="inlineStr">
        <is>
          <t>BUG_010</t>
        </is>
      </c>
      <c r="C14" s="66" t="inlineStr">
        <is>
          <t>Thiếu cơ chế Rate Limiting và khóa tài khoản khi đăng nhập sai nhiều lần (Brute-Force Vulnerability)</t>
        </is>
      </c>
      <c r="D14" s="66" t="inlineStr">
        <is>
          <t>Xác thực &amp; Tài khoản (04_TC_Auth_Profile)</t>
        </is>
      </c>
      <c r="E14" s="64" t="inlineStr">
        <is>
          <t>P2 - Major</t>
        </is>
      </c>
      <c r="F14" s="64" t="inlineStr">
        <is>
          <t>Medium</t>
        </is>
      </c>
      <c r="G14" s="66" t="inlineStr">
        <is>
          <t>1. Gửi liên tục 100 request POST /api/auth/login với mật khẩu sai
2. Kiểm tra phản hồi và trạng thái tài khoản</t>
        </is>
      </c>
      <c r="H14" s="66" t="inlineStr">
        <is>
          <t>HTTP 429 Too Many Requests hoặc khóa tài khoản tạm thời sau 5 lần nhập sai</t>
        </is>
      </c>
      <c r="I14" s="66" t="inlineStr">
        <is>
          <t>HTTP 200/400 lặp lại không giới hạn, không có độ trễ hay CAPTCHA ngăn chặn dò mật khẩu</t>
        </is>
      </c>
      <c r="J14" s="66" t="inlineStr">
        <is>
          <t>E2E_SCREENSHOTS/TC_AUTH_010.png</t>
        </is>
      </c>
      <c r="K14" s="64" t="inlineStr">
        <is>
          <t>Tester độc lập</t>
        </is>
      </c>
      <c r="L14" s="67" t="inlineStr">
        <is>
          <t>Open</t>
        </is>
      </c>
    </row>
    <row r="15" ht="28.05" customHeight="1" s="34">
      <c r="A15" s="64" t="n">
        <v>11</v>
      </c>
      <c r="B15" s="65" t="inlineStr">
        <is>
          <t>BUG_011</t>
        </is>
      </c>
      <c r="C15" s="66" t="inlineStr">
        <is>
          <t>Tạo ván cờ với chuỗi FEN sai cú pháp âm thầm nuốt lỗi và tự động gán thế cờ mặc định</t>
        </is>
      </c>
      <c r="D15" s="66" t="inlineStr">
        <is>
          <t>Vận hành ván cờ &amp; AI (06_TC_Game_Play)</t>
        </is>
      </c>
      <c r="E15" s="64" t="inlineStr">
        <is>
          <t>P3 - Minor</t>
        </is>
      </c>
      <c r="F15" s="64" t="inlineStr">
        <is>
          <t>Medium</t>
        </is>
      </c>
      <c r="G15" s="66" t="inlineStr">
        <is>
          <t>1. Gửi POST /api/games với initialFen = "invalid_garbage_fen"
2. Kiểm tra mã trạng thái trả về</t>
        </is>
      </c>
      <c r="H15" s="66" t="inlineStr">
        <is>
          <t>HTTP 400 Bad Request kèm thông báo định dạng chuỗi FEN không hợp lệ</t>
        </is>
      </c>
      <c r="I15" s="66" t="inlineStr">
        <is>
          <t>HTTP 201 Created, server âm thầm gán initialFen = null và trả về bàn cờ mặc định</t>
        </is>
      </c>
      <c r="J15" s="66" t="inlineStr">
        <is>
          <t>E2E_SCREENSHOTS/TC_GAME_013.png</t>
        </is>
      </c>
      <c r="K15" s="64" t="inlineStr">
        <is>
          <t>Tester độc lập</t>
        </is>
      </c>
      <c r="L15" s="67" t="inlineStr">
        <is>
          <t>Open</t>
        </is>
      </c>
    </row>
    <row r="16" ht="28.05" customHeight="1" s="34">
      <c r="A16" s="64" t="n">
        <v>12</v>
      </c>
      <c r="B16" s="65" t="inlineStr">
        <is>
          <t>BUG_012</t>
        </is>
      </c>
      <c r="C16" s="66" t="inlineStr">
        <is>
          <t>Tái đấu (Rematch) ép đối thủ vào ván mới mà không cần đối thủ xác nhận đồng ý</t>
        </is>
      </c>
      <c r="D16" s="66" t="inlineStr">
        <is>
          <t>Đấu trực tuyến &amp; Vận hành ván cờ (07_TC_Online_SignalR)</t>
        </is>
      </c>
      <c r="E16" s="64" t="inlineStr">
        <is>
          <t>P2 - Major</t>
        </is>
      </c>
      <c r="F16" s="64" t="inlineStr">
        <is>
          <t>High</t>
        </is>
      </c>
      <c r="G16" s="66" t="inlineStr">
        <is>
          <t>1. Kết thúc ván đấu trực tuyến
2. Bên Đỏ gọi POST /api/games/{id}/rematch
3. Quan sát phản hồi hệ thống</t>
        </is>
      </c>
      <c r="H16" s="66" t="inlineStr">
        <is>
          <t>Gửi lời mời tái đấu và chờ đối thủ bấm Đồng ý trước khi khởi tạo bàn mới</t>
        </is>
      </c>
      <c r="I16" s="66" t="inlineStr">
        <is>
          <t>HTTP 200 OK, server tự động tạo ngay ván mới và ép cả 2 người chơi vào trận</t>
        </is>
      </c>
      <c r="J16" s="66" t="inlineStr">
        <is>
          <t>E2E_SCREENSHOTS/TC_ONL_016.png</t>
        </is>
      </c>
      <c r="K16" s="64" t="inlineStr">
        <is>
          <t>Tester độc lập</t>
        </is>
      </c>
      <c r="L16" s="67" t="inlineStr">
        <is>
          <t>Open</t>
        </is>
      </c>
    </row>
    <row r="17" ht="28.05" customHeight="1" s="34">
      <c r="A17" s="64" t="n">
        <v>13</v>
      </c>
      <c r="B17" s="65" t="inlineStr">
        <is>
          <t>BUG_013</t>
        </is>
      </c>
      <c r="C17" s="66" t="inlineStr">
        <is>
          <t>API lưu tiến độ học tập của Khách vãng lai trả về HTTP 200 cho Lesson ID không tồn tại</t>
        </is>
      </c>
      <c r="D17" s="66" t="inlineStr">
        <is>
          <t>Học viện &amp; Kỳ phổ (09_TC_Course_Master)</t>
        </is>
      </c>
      <c r="E17" s="64" t="inlineStr">
        <is>
          <t>P3 - Minor</t>
        </is>
      </c>
      <c r="F17" s="64" t="inlineStr">
        <is>
          <t>Medium</t>
        </is>
      </c>
      <c r="G17" s="66" t="inlineStr">
        <is>
          <t>1. Khách chưa đăng nhập gửi POST /api/courses/progress với lessonId = 999999
2. Kiểm tra mã phản hồi</t>
        </is>
      </c>
      <c r="H17" s="66" t="inlineStr">
        <is>
          <t>HTTP 404 Not Found hoặc HTTP 400 Bad Request thông báo bài học không tồn tại</t>
        </is>
      </c>
      <c r="I17" s="66" t="inlineStr">
        <is>
          <t>HTTP 200 OK, trả về { isGuest: true, progress: {...} } trước khi kiểm tra tính tồn tại của bài học</t>
        </is>
      </c>
      <c r="J17" s="66" t="inlineStr">
        <is>
          <t>E2E_SCREENSHOTS/TC_COU_006.png</t>
        </is>
      </c>
      <c r="K17" s="64" t="inlineStr">
        <is>
          <t>Tester độc lập</t>
        </is>
      </c>
      <c r="L17" s="67" t="inlineStr">
        <is>
          <t>Open</t>
        </is>
      </c>
    </row>
    <row r="18" ht="28.05" customHeight="1" s="34">
      <c r="A18" s="64" t="n">
        <v>14</v>
      </c>
      <c r="B18" s="65" t="inlineStr">
        <is>
          <t>BUG_014</t>
        </is>
      </c>
      <c r="C18" s="66" t="inlineStr">
        <is>
          <t>Chức năng Khóa / Mở khóa người dùng hoàn toàn chưa được hiện thực trong CSDL và Controller</t>
        </is>
      </c>
      <c r="D18" s="66" t="inlineStr">
        <is>
          <t>Phân hệ Quản trị viên (10_TC_Admin_System)</t>
        </is>
      </c>
      <c r="E18" s="64" t="inlineStr">
        <is>
          <t>P2 - Major</t>
        </is>
      </c>
      <c r="F18" s="64" t="inlineStr">
        <is>
          <t>High</t>
        </is>
      </c>
      <c r="G18" s="66" t="inlineStr">
        <is>
          <t>1. Kiểm tra cấu trúc bảng Users trong CSDL
2. Kiểm tra các Action xử lý trong AdminController</t>
        </is>
      </c>
      <c r="H18" s="66" t="inlineStr">
        <is>
          <t>Có trường IsLocked/IsActive trong User và hàm ToggleLockUser chặn người dùng đăng nhập</t>
        </is>
      </c>
      <c r="I18" s="66" t="inlineStr">
        <is>
          <t>Không có trường IsLocked trong model User, AdminController không có hàm khóa, người dùng vẫn đăng nhập bình thường</t>
        </is>
      </c>
      <c r="J18" s="66" t="inlineStr">
        <is>
          <t>E2E_SCREENSHOTS/TC_ADM_005.png</t>
        </is>
      </c>
      <c r="K18" s="64" t="inlineStr">
        <is>
          <t>Tester độc lập</t>
        </is>
      </c>
      <c r="L18" s="67" t="inlineStr">
        <is>
          <t>Open</t>
        </is>
      </c>
    </row>
    <row r="19" ht="28.05" customHeight="1" s="34">
      <c r="A19" s="64" t="n">
        <v>15</v>
      </c>
      <c r="B19" s="65" t="inlineStr">
        <is>
          <t>BUG_015</t>
        </is>
      </c>
      <c r="C19" s="66" t="inlineStr">
        <is>
          <t>CMS Admin cho phép thêm bài cờ thế với chuỗi FEN sai cú pháp hoặc rác vào CSDL</t>
        </is>
      </c>
      <c r="D19" s="66" t="inlineStr">
        <is>
          <t>Phân hệ Quản trị viên (10_TC_Admin_System)</t>
        </is>
      </c>
      <c r="E19" s="64" t="inlineStr">
        <is>
          <t>P3 - Minor</t>
        </is>
      </c>
      <c r="F19" s="64" t="inlineStr">
        <is>
          <t>Medium</t>
        </is>
      </c>
      <c r="G19" s="66" t="inlineStr">
        <is>
          <t>1. Đăng nhập Admin vào /Admin/Puzzles
2. Gửi POST /Admin/CreatePuzzle với fen = "chuoi_fen_sai_dinh_dang"</t>
        </is>
      </c>
      <c r="H19" s="66" t="inlineStr">
        <is>
          <t>HTTP 400 Bad Request từ chối và báo lỗi cú pháp FEN không hợp lệ</t>
        </is>
      </c>
      <c r="I19" s="66" t="inlineStr">
        <is>
          <t>HTTP 302/200, hệ thống lưu thẳng chuỗi FEN rác vào CSDL gây lỗi crash khi người chơi mở bài</t>
        </is>
      </c>
      <c r="J19" s="66" t="inlineStr">
        <is>
          <t>E2E_SCREENSHOTS/TC_ADM_008.png</t>
        </is>
      </c>
      <c r="K19" s="64" t="inlineStr">
        <is>
          <t>Tester độc lập</t>
        </is>
      </c>
      <c r="L19" s="67" t="inlineStr">
        <is>
          <t>Open</t>
        </is>
      </c>
    </row>
    <row r="20" ht="28.05" customHeight="1" s="34">
      <c r="A20" s="64" t="n">
        <v>16</v>
      </c>
      <c r="B20" s="65" t="inlineStr">
        <is>
          <t>BUG_016</t>
        </is>
      </c>
      <c r="C20" s="66" t="inlineStr">
        <is>
          <t>Cho phép đăng ký Username chứa mã độc XSS &lt;script&gt; không được lọc rửa (Stored XSS)</t>
        </is>
      </c>
      <c r="D20" s="66" t="inlineStr">
        <is>
          <t>Xác thực &amp; Tài khoản (04_TC_Auth_Profile)</t>
        </is>
      </c>
      <c r="E20" s="64" t="inlineStr">
        <is>
          <t>P2 - Major</t>
        </is>
      </c>
      <c r="F20" s="64" t="inlineStr">
        <is>
          <t>High</t>
        </is>
      </c>
      <c r="G20" s="66" t="inlineStr">
        <is>
          <t>1. Gửi POST /api/auth/register
2. Body username = "&lt;script&gt;alert(1)&lt;/script&gt;"
3. Kiểm tra phản hồi và dữ liệu lưu</t>
        </is>
      </c>
      <c r="H20" s="66" t="inlineStr">
        <is>
          <t>HTTP 400 Bad Request, từ chối username chứa ký tự đặc biệt hoặc thẻ HTML script</t>
        </is>
      </c>
      <c r="I20" s="66" t="inlineStr">
        <is>
          <t>HTTP 200 OK, server lưu nguyên vẹn payload XSS vào bảng Users trong CSDL SQLite</t>
        </is>
      </c>
      <c r="J20" s="66" t="inlineStr">
        <is>
          <t>E2E_SCREENSHOTS/TC_AUTH_002.png</t>
        </is>
      </c>
      <c r="K20" s="64" t="inlineStr">
        <is>
          <t>Tester độc lập</t>
        </is>
      </c>
      <c r="L20" s="67" t="inlineStr">
        <is>
          <t>Open</t>
        </is>
      </c>
    </row>
    <row r="21" ht="28.05" customHeight="1" s="34">
      <c r="A21" s="64" t="n">
        <v>17</v>
      </c>
      <c r="B21" s="65" t="inlineStr">
        <is>
          <t>BUG_017</t>
        </is>
      </c>
      <c r="C21" s="66" t="inlineStr">
        <is>
          <t>API tạo ván cờ chấp nhận thời gian thi đấu âm (timeControl = -999)</t>
        </is>
      </c>
      <c r="D21" s="66" t="inlineStr">
        <is>
          <t>Chế độ chơi &amp; AI (06_TC_Game_Play)</t>
        </is>
      </c>
      <c r="E21" s="64" t="inlineStr">
        <is>
          <t>P3 - Minor</t>
        </is>
      </c>
      <c r="F21" s="64" t="inlineStr">
        <is>
          <t>Low</t>
        </is>
      </c>
      <c r="G21" s="66" t="inlineStr">
        <is>
          <t>1. Gửi POST /api/games với body timeControl = -999
2. Kiểm tra mã phản hồi và trạng thái ván</t>
        </is>
      </c>
      <c r="H21" s="66" t="inlineStr">
        <is>
          <t>HTTP 400 Bad Request, thời gian thi đấu timeControl phải nằm trong khoảng dương (ví dụ 1-60 phút)</t>
        </is>
      </c>
      <c r="I21" s="66" t="inlineStr">
        <is>
          <t>HTTP 201 Created, server tạo thành công ván đấu với thời gian âm gây lỗi đồng hồ đếm ngược</t>
        </is>
      </c>
      <c r="J21" s="66" t="inlineStr">
        <is>
          <t>E2E_SCREENSHOTS/TC_GAME_001.png</t>
        </is>
      </c>
      <c r="K21" s="64" t="inlineStr">
        <is>
          <t>Tester độc lập</t>
        </is>
      </c>
      <c r="L21" s="67" t="inlineStr">
        <is>
          <t>Open</t>
        </is>
      </c>
    </row>
    <row r="22" ht="28.05" customHeight="1" s="34">
      <c r="A22" s="19" t="n">
        <v>18</v>
      </c>
      <c r="B22" s="20" t="inlineStr">
        <is>
          <t>BUG_018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19" t="n"/>
    </row>
    <row r="23" ht="28.05" customHeight="1" s="34">
      <c r="A23" s="19" t="n">
        <v>19</v>
      </c>
      <c r="B23" s="20" t="inlineStr">
        <is>
          <t>BUG_019</t>
        </is>
      </c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19" t="n"/>
    </row>
    <row r="24" ht="28.05" customHeight="1" s="34">
      <c r="A24" s="19" t="n">
        <v>20</v>
      </c>
      <c r="B24" s="20" t="inlineStr">
        <is>
          <t>BUG_020</t>
        </is>
      </c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19" t="n"/>
    </row>
    <row r="25" ht="28.05" customHeight="1" s="34">
      <c r="A25" s="19" t="n">
        <v>21</v>
      </c>
      <c r="B25" s="20" t="inlineStr">
        <is>
          <t>BUG_021</t>
        </is>
      </c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19" t="n"/>
    </row>
    <row r="26" ht="28.05" customHeight="1" s="34">
      <c r="A26" s="19" t="n">
        <v>22</v>
      </c>
      <c r="B26" s="20" t="inlineStr">
        <is>
          <t>BUG_022</t>
        </is>
      </c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19" t="n"/>
    </row>
    <row r="27" ht="28.05" customHeight="1" s="34">
      <c r="A27" s="19" t="n">
        <v>23</v>
      </c>
      <c r="B27" s="20" t="inlineStr">
        <is>
          <t>BUG_023</t>
        </is>
      </c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19" t="n"/>
    </row>
    <row r="28" ht="28.05" customHeight="1" s="34">
      <c r="A28" s="19" t="n">
        <v>24</v>
      </c>
      <c r="B28" s="20" t="inlineStr">
        <is>
          <t>BUG_024</t>
        </is>
      </c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19" t="n"/>
    </row>
    <row r="29" ht="28.05" customHeight="1" s="34">
      <c r="A29" s="19" t="n">
        <v>25</v>
      </c>
      <c r="B29" s="20" t="inlineStr">
        <is>
          <t>BUG_025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19" t="n"/>
    </row>
  </sheetData>
  <mergeCells count="2">
    <mergeCell ref="A2:L2"/>
    <mergeCell ref="A1:L1"/>
  </mergeCells>
  <dataValidations count="3">
    <dataValidation sqref="E5:E29" showDropDown="0" showInputMessage="1" showErrorMessage="1" allowBlank="1" promptTitle="Severity:" prompt="Blocker, Critical, Major, Minor" type="list">
      <formula1>"Blocker,Critical,Major,Minor"</formula1>
    </dataValidation>
    <dataValidation sqref="F5:F29" showDropDown="0" showInputMessage="1" showErrorMessage="1" allowBlank="1" promptTitle="Priority:" prompt="High, Medium, Low" type="list">
      <formula1>"High,Medium,Low"</formula1>
    </dataValidation>
    <dataValidation sqref="L5:L29" showDropDown="0" showInputMessage="1" showErrorMessage="1" allowBlank="1" promptTitle="Status:" prompt="New, Open, In Progress, Fixed, Closed, Rejected" type="list">
      <formula1>"New,Open,In Progress,Fixed,Closed,Rejected"</formula1>
    </dataValidation>
  </dataValidation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2026-10-27T13:35:53Z</dcterms:created>
  <dcterms:modified xmlns:dcterms="http://purl.org/dc/terms/" xmlns:xsi="http://www.w3.org/2001/XMLSchema-instance" xsi:type="dcterms:W3CDTF">2026-10-27T16:37:56Z</dcterms:modified>
  <cp:lastModifiedBy>Chu Văn Quốc Trung</cp:lastModifiedBy>
</cp:coreProperties>
</file>