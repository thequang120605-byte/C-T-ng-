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 xmlns:r="http://schemas.openxmlformats.org/officeDocument/2006/relationships" name="13_Retest_Round2"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49">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
      <name val="Times New Roman"/>
      <b val="1"/>
      <sz val="11"/>
    </font>
    <font>
      <name val="Times New Roman"/>
      <sz val="11"/>
    </font>
    <font>
      <name val="Times New Roman"/>
      <b val="1"/>
      <color rgb="FF1B5E20"/>
      <sz val="11"/>
    </font>
    <font>
      <name val="Times New Roman"/>
      <b val="1"/>
      <color rgb="FF1E293B"/>
      <sz val="16"/>
    </font>
    <font>
      <name val="Times New Roman"/>
      <i val="1"/>
      <color rgb="FF475569"/>
      <sz val="11"/>
    </font>
    <font>
      <name val="Times New Roman"/>
      <b val="1"/>
      <color rgb="FF334155"/>
      <sz val="10"/>
    </font>
    <font>
      <name val="Times New Roman"/>
      <b val="1"/>
      <color rgb="FF1E293B"/>
      <sz val="18"/>
    </font>
    <font>
      <name val="Times New Roman"/>
      <b val="1"/>
      <color rgb="FF1B5E20"/>
      <sz val="18"/>
    </font>
    <font>
      <name val="Times New Roman"/>
      <b val="1"/>
      <color rgb="FF64748B"/>
      <sz val="18"/>
    </font>
    <font>
      <name val="Times New Roman"/>
      <b val="1"/>
      <color rgb="FF1B5E20"/>
      <sz val="14"/>
    </font>
    <font>
      <name val="Times New Roman"/>
      <b val="1"/>
      <color rgb="FFFFFFFF"/>
      <sz val="11"/>
    </font>
    <font>
      <name val="Times New Roman"/>
      <b val="1"/>
      <color rgb="FFB71C1C"/>
      <sz val="11"/>
    </font>
  </fonts>
  <fills count="24">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
      <patternFill patternType="solid">
        <fgColor rgb="FFE8F5E9"/>
        <bgColor rgb="FFE8F5E9"/>
      </patternFill>
    </fill>
    <fill>
      <patternFill patternType="solid">
        <fgColor rgb="FFF1F5F9"/>
        <bgColor rgb="FFF1F5F9"/>
      </patternFill>
    </fill>
    <fill>
      <patternFill patternType="solid">
        <fgColor rgb="FFF8FAFC"/>
        <bgColor rgb="FFF8FAFC"/>
      </patternFill>
    </fill>
    <fill>
      <patternFill patternType="solid">
        <fgColor rgb="FF1E293B"/>
        <bgColor rgb="FF1E293B"/>
      </patternFill>
    </fill>
    <fill>
      <patternFill patternType="solid">
        <fgColor rgb="FFFFEBEE"/>
        <bgColor rgb="FFFFEBEE"/>
      </patternFill>
    </fill>
    <fill>
      <patternFill patternType="solid">
        <fgColor rgb="FFFFFFFF"/>
        <bgColor rgb="FFFFFFFF"/>
      </patternFill>
    </fill>
  </fills>
  <borders count="51">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
      <left style="thin">
        <color rgb="FFD1D5DB"/>
      </left>
      <right style="thin">
        <color rgb="FFD1D5DB"/>
      </right>
      <top style="thin">
        <color rgb="FFD1D5DB"/>
      </top>
      <bottom style="thin">
        <color rgb="FFD1D5DB"/>
      </bottom>
    </border>
    <border>
      <left style="thin">
        <color rgb="FFE2E8F0"/>
      </left>
      <right style="thin">
        <color rgb="FFE2E8F0"/>
      </right>
      <top style="thin">
        <color rgb="FFE2E8F0"/>
      </top>
      <bottom style="thin">
        <color rgb="FFE2E8F0"/>
      </bottom>
    </border>
  </borders>
  <cellStyleXfs count="1">
    <xf numFmtId="0" fontId="0" fillId="0" borderId="0"/>
  </cellStyleXfs>
  <cellXfs count="92">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xf numFmtId="0" fontId="37" fillId="0" borderId="49" applyAlignment="1" pivotButton="0" quotePrefix="0" xfId="0">
      <alignment vertical="center" wrapText="1"/>
    </xf>
    <xf numFmtId="0" fontId="38" fillId="0" borderId="49" applyAlignment="1" pivotButton="0" quotePrefix="0" xfId="0">
      <alignment vertical="center" wrapText="1"/>
    </xf>
    <xf numFmtId="0" fontId="37" fillId="0" borderId="0" pivotButton="0" quotePrefix="0" xfId="0"/>
    <xf numFmtId="0" fontId="38" fillId="0" borderId="0" pivotButton="0" quotePrefix="0" xfId="0"/>
    <xf numFmtId="0" fontId="39" fillId="18" borderId="1" applyAlignment="1" pivotButton="0" quotePrefix="0" xfId="0">
      <alignment horizontal="center" vertical="center"/>
    </xf>
    <xf numFmtId="0" fontId="39" fillId="18" borderId="48" applyAlignment="1" pivotButton="0" quotePrefix="0" xfId="0">
      <alignment horizontal="center" vertical="center" wrapText="1"/>
    </xf>
    <xf numFmtId="0" fontId="40" fillId="0" borderId="0" applyAlignment="1" pivotButton="0" quotePrefix="0" xfId="0">
      <alignment horizontal="left" vertical="center"/>
    </xf>
    <xf numFmtId="0" fontId="41" fillId="0" borderId="0" applyAlignment="1" pivotButton="0" quotePrefix="0" xfId="0">
      <alignment horizontal="left" vertical="center"/>
    </xf>
    <xf numFmtId="0" fontId="42" fillId="19" borderId="49" applyAlignment="1" pivotButton="0" quotePrefix="0" xfId="0">
      <alignment horizontal="center" vertical="center"/>
    </xf>
    <xf numFmtId="0" fontId="0" fillId="0" borderId="49" pivotButton="0" quotePrefix="0" xfId="0"/>
    <xf numFmtId="0" fontId="42" fillId="18" borderId="49" applyAlignment="1" pivotButton="0" quotePrefix="0" xfId="0">
      <alignment horizontal="center" vertical="center"/>
    </xf>
    <xf numFmtId="0" fontId="43" fillId="20" borderId="49" applyAlignment="1" pivotButton="0" quotePrefix="0" xfId="0">
      <alignment horizontal="center" vertical="center"/>
    </xf>
    <xf numFmtId="0" fontId="44" fillId="18" borderId="49" applyAlignment="1" pivotButton="0" quotePrefix="0" xfId="0">
      <alignment horizontal="center" vertical="center"/>
    </xf>
    <xf numFmtId="0" fontId="45" fillId="20" borderId="49" applyAlignment="1" pivotButton="0" quotePrefix="0" xfId="0">
      <alignment horizontal="center" vertical="center"/>
    </xf>
    <xf numFmtId="0" fontId="46" fillId="18" borderId="49" applyAlignment="1" pivotButton="0" quotePrefix="0" xfId="0">
      <alignment horizontal="center" vertical="center"/>
    </xf>
    <xf numFmtId="0" fontId="47" fillId="21" borderId="49" applyAlignment="1" pivotButton="0" quotePrefix="0" xfId="0">
      <alignment horizontal="center" vertical="center" wrapText="1"/>
    </xf>
    <xf numFmtId="0" fontId="38" fillId="20" borderId="50" applyAlignment="1" pivotButton="0" quotePrefix="0" xfId="0">
      <alignment horizontal="center" vertical="center" wrapText="1"/>
    </xf>
    <xf numFmtId="0" fontId="38" fillId="20" borderId="50" applyAlignment="1" pivotButton="0" quotePrefix="0" xfId="0">
      <alignment horizontal="left" vertical="center" wrapText="1"/>
    </xf>
    <xf numFmtId="0" fontId="48" fillId="22" borderId="50" applyAlignment="1" pivotButton="0" quotePrefix="0" xfId="0">
      <alignment horizontal="center" vertical="center" wrapText="1"/>
    </xf>
    <xf numFmtId="0" fontId="39" fillId="18" borderId="50" applyAlignment="1" pivotButton="0" quotePrefix="0" xfId="0">
      <alignment horizontal="center" vertical="center" wrapText="1"/>
    </xf>
    <xf numFmtId="0" fontId="38" fillId="23" borderId="50" applyAlignment="1" pivotButton="0" quotePrefix="0" xfId="0">
      <alignment horizontal="center" vertical="center" wrapText="1"/>
    </xf>
    <xf numFmtId="0" fontId="38" fillId="23" borderId="5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E34"/>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2.05" customHeight="1" s="34">
      <c r="B13" s="1" t="inlineStr">
        <is>
          <t>Ngày bắt đầu kiểm thử:</t>
        </is>
      </c>
      <c r="C13" s="30" t="inlineStr">
        <is>
          <t>27/10/2026</t>
        </is>
      </c>
      <c r="D13" s="31" t="n"/>
      <c r="E13" s="32" t="n"/>
    </row>
    <row r="14" ht="22.05" customHeight="1" s="34">
      <c r="B14" s="1" t="inlineStr">
        <is>
          <t>Người thực hiện kiểm thử (Tester):</t>
        </is>
      </c>
      <c r="C14" s="30" t="inlineStr">
        <is>
          <t>Tester độc lập (Bộ Test Runner Tự động)</t>
        </is>
      </c>
      <c r="D14" s="31" t="n"/>
      <c r="E14" s="32" t="n"/>
    </row>
    <row r="15" ht="22.05" customHeight="1" s="34">
      <c r="B15" s="1" t="inlineStr">
        <is>
          <t>Phiên bản tài liệu (Version):</t>
        </is>
      </c>
      <c r="C15" s="38" t="inlineStr">
        <is>
          <t>v2.1</t>
        </is>
      </c>
      <c r="D15" s="31" t="n"/>
      <c r="E15" s="32" t="n"/>
    </row>
    <row r="16" ht="22.05" customHeight="1" s="34">
      <c r="B16" s="1" t="inlineStr">
        <is>
          <t>Tình trạng kết quả:</t>
        </is>
      </c>
      <c r="C16" s="30" t="inlineStr">
        <is>
          <t>Hoàn tất kiểm thử chu kỳ 2 (Retest Round 2) - 17/17 lỗi ĐÃ ĐƯỢC FIX TOÀN DIỆN</t>
        </is>
      </c>
      <c r="D16" s="31" t="n"/>
      <c r="E16" s="32" t="n"/>
    </row>
    <row r="18" ht="16.8" customHeight="1" s="34">
      <c r="B18" s="33" t="inlineStr">
        <is>
          <t>2. LỊCH SỬ CẬP NHẬT TÀI LIỆU</t>
        </is>
      </c>
    </row>
    <row r="20" ht="15" customHeight="1" s="34">
      <c r="B20" s="39" t="inlineStr">
        <is>
          <t>Phiên bản</t>
        </is>
      </c>
      <c r="C20" s="39" t="inlineStr">
        <is>
          <t>Ngày cập nhật</t>
        </is>
      </c>
      <c r="D20" s="39" t="inlineStr">
        <is>
          <t>Tác giả</t>
        </is>
      </c>
      <c r="E20" s="39" t="inlineStr">
        <is>
          <t>Mô tả thay đổi</t>
        </is>
      </c>
    </row>
    <row r="21" ht="22.05" customHeight="1" s="34">
      <c r="B21" s="4" t="inlineStr">
        <is>
          <t>v1.0</t>
        </is>
      </c>
      <c r="C21" s="4" t="inlineStr">
        <is>
          <t>20/10/2026</t>
        </is>
      </c>
      <c r="D21" s="4" t="inlineStr">
        <is>
          <t>Tác giả đồ án</t>
        </is>
      </c>
      <c r="E21" s="30" t="inlineStr">
        <is>
          <t>Khởi tạo bộ kịch bản kiểm thử ban đầu cho bản Web</t>
        </is>
      </c>
    </row>
    <row r="22" ht="22.05" customHeight="1" s="34">
      <c r="B22" s="4" t="inlineStr">
        <is>
          <t>v1.5</t>
        </is>
      </c>
      <c r="C22" s="4" t="inlineStr">
        <is>
          <t>25/10/2026</t>
        </is>
      </c>
      <c r="D22" s="4" t="inlineStr">
        <is>
          <t>Tác giả đồ án</t>
        </is>
      </c>
      <c r="E22" s="30" t="inlineStr">
        <is>
          <t>Bổ sung kịch bản kiểm thử Realtime SignalR, Đồng hồ rụng kim và AI</t>
        </is>
      </c>
    </row>
    <row r="23" ht="22.05" customHeight="1" s="34">
      <c r="B23" s="4" t="inlineStr">
        <is>
          <t>v2.0</t>
        </is>
      </c>
      <c r="C23" s="4" t="inlineStr">
        <is>
          <t>27/10/2026</t>
        </is>
      </c>
      <c r="D23" s="4" t="inlineStr">
        <is>
          <t>Tác giả đồ án</t>
        </is>
      </c>
      <c r="E23" s="30" t="inlineStr">
        <is>
          <t>Hoàn thiện đầy đủ 12 sheet kiểm thử chi tiết Web &amp; Mobile, phân hệ Admin, để trống kết quả để tester tiến hành thử nghiệm độc lập</t>
        </is>
      </c>
    </row>
    <row r="24">
      <c r="B24" s="70" t="inlineStr">
        <is>
          <t>v2.1</t>
        </is>
      </c>
      <c r="C24" s="71" t="inlineStr">
        <is>
          <t>28/10/2026</t>
        </is>
      </c>
      <c r="D24" s="71" t="inlineStr">
        <is>
          <t>Tester độc lập (Bộ Test Runner Tự động)</t>
        </is>
      </c>
      <c r="E24" s="71" t="inlineStr">
        <is>
          <t>Đồng bộ commit mới nhất 65ae81d từ branch main trên cloud (28/10/2026 22:24:20). Thực hiện kiểm thử chu kỳ 2 (Retest Round 2) cho toàn bộ 17 lỗi từ chu kỳ 1. Bổ sung Sheet 13_Retest_Round2 ghi nhận kết quả xác minh: 17/17 lỗi đã được khắc phục triệt để (100% Fixed).</t>
        </is>
      </c>
    </row>
    <row r="25"/>
    <row r="26">
      <c r="B26" t="inlineStr">
        <is>
          <t>3. THÔNG TIN ĐỒNG BỘ MÃ NGUỒN TỪ CLOUD (GIT SYNC INFO)</t>
        </is>
      </c>
    </row>
    <row r="27">
      <c r="B27" t="inlineStr">
        <is>
          <t>Kho mã nguồn Cloud (Git Remote):</t>
        </is>
      </c>
      <c r="C27" t="inlineStr">
        <is>
          <t>https://github.com/thequang120605-byte/C-T-ng-.git</t>
        </is>
      </c>
    </row>
    <row r="28">
      <c r="B28" t="inlineStr">
        <is>
          <t>Nhánh kiểm thử (Target Branch):</t>
        </is>
      </c>
      <c r="C28" t="inlineStr">
        <is>
          <t>main (Origin Main)</t>
        </is>
      </c>
    </row>
    <row r="29">
      <c r="B29" t="inlineStr">
        <is>
          <t>Mã Commit mới nhất (Commit Hash):</t>
        </is>
      </c>
      <c r="C29" s="72" t="inlineStr">
        <is>
          <t>65ae81dd6baed2dc85923a3d7f4644fd8006b0e3 (Short: 65ae81d)</t>
        </is>
      </c>
    </row>
    <row r="30">
      <c r="B30" t="inlineStr">
        <is>
          <t>Thông điệp Commit (Commit Message):</t>
        </is>
      </c>
      <c r="C30" s="73" t="inlineStr">
        <is>
          <t>feat(admin): modernize users management view matching overview design and metrics</t>
        </is>
      </c>
    </row>
    <row r="31">
      <c r="B31" t="inlineStr">
        <is>
          <t>Tác giả commit (Author):</t>
        </is>
      </c>
      <c r="C31" s="73" t="inlineStr">
        <is>
          <t>nguyentrongnguyen3004-eng &lt;nguyentrongnguyen3004@gmail.com&gt;</t>
        </is>
      </c>
    </row>
    <row r="32">
      <c r="B32" t="inlineStr">
        <is>
          <t>Thời gian commit trên Cloud:</t>
        </is>
      </c>
      <c r="C32" s="72" t="inlineStr">
        <is>
          <t>Wed Oct 28 22:24:20 2026 +0700</t>
        </is>
      </c>
    </row>
    <row r="33">
      <c r="B33" t="inlineStr">
        <is>
          <t>Thời gian Pull / Đồng bộ kiểm thử:</t>
        </is>
      </c>
      <c r="C33" s="73" t="inlineStr">
        <is>
          <t>28/10/2026 23:32:10 (UTC+7)</t>
        </is>
      </c>
    </row>
    <row r="34">
      <c r="B34" t="inlineStr">
        <is>
          <t>Trạng thái mã nguồn:</t>
        </is>
      </c>
      <c r="C34" s="73" t="inlineStr">
        <is>
          <t>Đã fast-forward nhánh main lên 65ae81d và tích hợp vào feat/e2e-testing-suite; build .NET sạch 0 lỗi, toàn bộ 17 bug đã được fix toàn diện.</t>
        </is>
      </c>
    </row>
  </sheetData>
  <mergeCells count="14">
    <mergeCell ref="C16:E16"/>
    <mergeCell ref="B18:E18"/>
    <mergeCell ref="C14:E14"/>
    <mergeCell ref="C11:E11"/>
    <mergeCell ref="B4:E4"/>
    <mergeCell ref="C13:E13"/>
    <mergeCell ref="B6:E6"/>
    <mergeCell ref="C8:E8"/>
    <mergeCell ref="C9:E9"/>
    <mergeCell ref="B3:E3"/>
    <mergeCell ref="B2:E2"/>
    <mergeCell ref="C15:E15"/>
    <mergeCell ref="C12:E12"/>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19"/>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mã nguồn nhánh origin/main (Đồng bộ lúc: 28/10/2026 23:32:10 (UTC+7) | Commit: 65ae81d - 28/10/2026 22:24:20)</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f>E19</f>
        <v/>
      </c>
      <c r="D6" s="46" t="n"/>
      <c r="E6" s="49" t="n">
        <v>120</v>
      </c>
      <c r="F6" s="50" t="n"/>
      <c r="G6" s="59" t="n">
        <v>17</v>
      </c>
      <c r="H6" s="60" t="n"/>
      <c r="I6" s="47">
        <f>J19</f>
        <v/>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f>COUNTA('04_TC_Auth_Profile'!B5:B21)</f>
        <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f>COUNTA('05_TC_Chess_Rules'!B5:B30)</f>
        <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f>COUNTA('06_TC_Game_Play'!B5:B22)</f>
        <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f>COUNTA('07_TC_Online_SignalR'!B5:B24)</f>
        <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f>COUNTA('08_TC_Puzzle_Cothe'!B5:B20)</f>
        <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f>COUNTA('09_TC_Course_Master'!B5:B20)</f>
        <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f>COUNTA('10_TC_Admin_System'!B5:B16)</f>
        <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f>COUNTA('11_TC_Mobile_Specific'!B5:B16)</f>
        <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f>SUM(E11:E18)</f>
        <v/>
      </c>
      <c r="F19" s="42" t="n">
        <v>120</v>
      </c>
      <c r="G19" s="42" t="n">
        <v>17</v>
      </c>
      <c r="H19" s="42">
        <f>SUM(H11:H18)</f>
        <v/>
      </c>
      <c r="I19" s="42">
        <f>SUM(I11:I18)</f>
        <v/>
      </c>
      <c r="J19" s="8">
        <f>IF(E19&gt;0, F19/E19, 0)</f>
        <v/>
      </c>
    </row>
  </sheetData>
  <mergeCells count="12">
    <mergeCell ref="B19:D19"/>
    <mergeCell ref="B3:J3"/>
    <mergeCell ref="C6:D6"/>
    <mergeCell ref="I6:J6"/>
    <mergeCell ref="E6:F6"/>
    <mergeCell ref="C5:D5"/>
    <mergeCell ref="G5:H5"/>
    <mergeCell ref="E5:F5"/>
    <mergeCell ref="I5:J5"/>
    <mergeCell ref="B8:J8"/>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HTTP 200 OK, tài khoản vẫn được tạo với email rác trong CSDL</t>
        </is>
      </c>
      <c r="J5" s="29" t="inlineStr">
        <is>
          <t>Fail</t>
        </is>
      </c>
      <c r="K5" s="15" t="inlineStr">
        <is>
          <t>High</t>
        </is>
      </c>
      <c r="L5" s="13" t="inlineStr">
        <is>
          <t>BUG_002</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HTTP 200 OK, server lưu nguyên vẹn payload XSS vào bảng Users trong CSDL SQLite</t>
        </is>
      </c>
      <c r="J6" s="63" t="inlineStr">
        <is>
          <t>Fail</t>
        </is>
      </c>
      <c r="K6" s="15" t="inlineStr">
        <is>
          <t>High</t>
        </is>
      </c>
      <c r="L6" s="13" t="inlineStr">
        <is>
          <t>BUG_016</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28"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HTTP 200 OK, hệ thống tạo tài khoản thành công với mật khẩu 3 ký tự</t>
        </is>
      </c>
      <c r="J8" s="29" t="inlineStr">
        <is>
          <t>Fail</t>
        </is>
      </c>
      <c r="K8" s="15" t="inlineStr">
        <is>
          <t>High</t>
        </is>
      </c>
      <c r="L8" s="13" t="inlineStr">
        <is>
          <t>BUG_001</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28"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28"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(eyJVc2VySWQiOjY...), hiển thị Elo 1200.</t>
        </is>
      </c>
      <c r="J11" s="28"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28"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28"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HTTP 200/400 lặp lại không giới hạn, không có độ trễ hay CAPTCHA ngăn chặn dò mật khẩu</t>
        </is>
      </c>
      <c r="J14" s="63" t="inlineStr">
        <is>
          <t>Fail</t>
        </is>
      </c>
      <c r="K14" s="15" t="inlineStr">
        <is>
          <t>High</t>
        </is>
      </c>
      <c r="L14" s="13" t="inlineStr">
        <is>
          <t>BUG_010</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TempData["OtpMessage"] và giao diện in thẳng "MÃ OTP CỦA BẠN LÀ: xxxxxx", cho phép chiếm quyền tài khoản</t>
        </is>
      </c>
      <c r="J15" s="63" t="inlineStr">
        <is>
          <t>Fail</t>
        </is>
      </c>
      <c r="K15" s="16" t="inlineStr">
        <is>
          <t>Medium</t>
        </is>
      </c>
      <c r="L15" s="13" t="inlineStr">
        <is>
          <t>BUG_008</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28"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28"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28"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28"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HTTP 200 OK, cộng điểm PuzzleScore vô hạn lần và lưu trạng thái tạm trong RAM</t>
        </is>
      </c>
      <c r="J20" s="63" t="inlineStr">
        <is>
          <t>Fail</t>
        </is>
      </c>
      <c r="K20" s="16" t="inlineStr">
        <is>
          <t>Medium</t>
        </is>
      </c>
      <c r="L20" s="13" t="inlineStr">
        <is>
          <t>BUG_009</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28"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28"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28"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28"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28"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28"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28"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28"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28"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28"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28"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28"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28"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28"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28"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28"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28"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28"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28"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28"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28"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28"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28"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28"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28"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28"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28"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HTTP 201 Created, server tạo thành công ván đấu với thời gian âm gây lỗi đồng hồ đếm ngược</t>
        </is>
      </c>
      <c r="J5" s="63" t="inlineStr">
        <is>
          <t>Fail</t>
        </is>
      </c>
      <c r="K5" s="24" t="inlineStr">
        <is>
          <t>High</t>
        </is>
      </c>
      <c r="L5" s="38" t="inlineStr">
        <is>
          <t>BUG_017</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28"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28"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28"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28"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28"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28"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28"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28"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28"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28"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28"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HTTP 201 Created, server âm thầm gán initialFen = null và trả về bàn cờ mặc định</t>
        </is>
      </c>
      <c r="J17" s="63" t="inlineStr">
        <is>
          <t>Fail</t>
        </is>
      </c>
      <c r="K17" s="24" t="inlineStr">
        <is>
          <t>High</t>
        </is>
      </c>
      <c r="L17" s="38" t="inlineStr">
        <is>
          <t>BUG_011</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28"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28"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28"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28"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28"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28"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28"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28"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28"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28"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28"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28"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28"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28"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28"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28"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28"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28"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28"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HTTP 200 OK, server tiếp tục nhận nước cờ và đổi trạng thái về InProgress</t>
        </is>
      </c>
      <c r="J19" s="29" t="inlineStr">
        <is>
          <t>Fail</t>
        </is>
      </c>
      <c r="K19" s="24" t="inlineStr">
        <is>
          <t>High</t>
        </is>
      </c>
      <c r="L19" s="38" t="inlineStr">
        <is>
          <t>BUG_004</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HTTP 200 OK, server tự động tạo ngay ván mới và ép cả 2 người chơi vào trận</t>
        </is>
      </c>
      <c r="J20" s="63" t="inlineStr">
        <is>
          <t>Fail</t>
        </is>
      </c>
      <c r="K20" s="25" t="inlineStr">
        <is>
          <t>Medium</t>
        </is>
      </c>
      <c r="L20" s="38" t="inlineStr">
        <is>
          <t>BUG_012</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28"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28"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28"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28"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28"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28"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28"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28"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28"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28"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28"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28"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28"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28"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28"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28"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28"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28"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28"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28"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28"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28"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28"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28"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HTTP 200 OK, trả về { isGuest: true, progress: {...} } trước khi kiểm tra tính tồn tại của bài học</t>
        </is>
      </c>
      <c r="J10" s="63" t="inlineStr">
        <is>
          <t>Fail</t>
        </is>
      </c>
      <c r="K10" s="24" t="inlineStr">
        <is>
          <t>High</t>
        </is>
      </c>
      <c r="L10" s="38" t="inlineStr">
        <is>
          <t>BUG_013</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28"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HTTP 200 OK, máy chủ lưu nguyên vẹn bestQuizScore = 999999</t>
        </is>
      </c>
      <c r="J12" s="29" t="inlineStr">
        <is>
          <t>Fail</t>
        </is>
      </c>
      <c r="K12" s="24" t="inlineStr">
        <is>
          <t>High</t>
        </is>
      </c>
      <c r="L12" s="38" t="inlineStr">
        <is>
          <t>BUG_006</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HTTP 200 OK, hệ thống vẫn kết xuất chứng chỉ tốt nghiệp hoàn chỉnh</t>
        </is>
      </c>
      <c r="J13" s="29" t="inlineStr">
        <is>
          <t>Fail</t>
        </is>
      </c>
      <c r="K13" s="25" t="inlineStr">
        <is>
          <t>Medium</t>
        </is>
      </c>
      <c r="L13" s="38" t="inlineStr">
        <is>
          <t>BUG_005</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28"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28"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28"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28"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28"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28"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28"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HTTP 302 Found, chuyển hướng (Redirect) về /Auth/Login?ReturnUrl=%2FAdmin</t>
        </is>
      </c>
      <c r="J6" s="29" t="inlineStr">
        <is>
          <t>Fail</t>
        </is>
      </c>
      <c r="K6" s="24" t="inlineStr">
        <is>
          <t>High</t>
        </is>
      </c>
      <c r="L6" s="38" t="inlineStr">
        <is>
          <t>BUG_003</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28"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28"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Không có trường IsLocked trong model User, AdminController không có hàm khóa, người dùng vẫn đăng nhập bình thường</t>
        </is>
      </c>
      <c r="J9" s="63" t="inlineStr">
        <is>
          <t>Fail</t>
        </is>
      </c>
      <c r="K9" s="24" t="inlineStr">
        <is>
          <t>High</t>
        </is>
      </c>
      <c r="L9" s="38" t="inlineStr">
        <is>
          <t>BUG_014</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28"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28"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HTTP 302/200, hệ thống lưu thẳng chuỗi FEN rác vào CSDL gây lỗi crash khi người chơi mở bài</t>
        </is>
      </c>
      <c r="J12" s="63" t="inlineStr">
        <is>
          <t>Fail</t>
        </is>
      </c>
      <c r="K12" s="24" t="inlineStr">
        <is>
          <t>High</t>
        </is>
      </c>
      <c r="L12" s="38" t="inlineStr">
        <is>
          <t>BUG_015</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HTTP 200 OK (hoặc redirect thành công) gây sai lệch trạng thái CMS</t>
        </is>
      </c>
      <c r="J13" s="29" t="inlineStr">
        <is>
          <t>Fail</t>
        </is>
      </c>
      <c r="K13" s="25" t="inlineStr">
        <is>
          <t>Medium</t>
        </is>
      </c>
      <c r="L13" s="38" t="inlineStr">
        <is>
          <t>BUG_007</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28"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28"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28"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28"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28"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28"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28"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28"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28"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28"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28"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28"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28"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28"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28"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74" t="inlineStr">
        <is>
          <t>Resolved (Đã fix - Xem Sheet 13)</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74" t="inlineStr">
        <is>
          <t>Resolved (Đã fix - Xem Sheet 13)</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74" t="inlineStr">
        <is>
          <t>Resolved (Đã fix - Xem Sheet 13)</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74" t="inlineStr">
        <is>
          <t>Resolved (Đã fix - Xem Sheet 13)</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74" t="inlineStr">
        <is>
          <t>Resolved (Đã fix - Xem Sheet 13)</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74" t="inlineStr">
        <is>
          <t>Resolved (Đã fix - Xem Sheet 13)</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74" t="inlineStr">
        <is>
          <t>Resolved (Đã fix - Xem Sheet 13)</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75" t="inlineStr">
        <is>
          <t>Resolved (Đã fix - Xem Sheet 13)</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75" t="inlineStr">
        <is>
          <t>Resolved (Đã fix - Xem Sheet 13)</t>
        </is>
      </c>
      <c r="M13" s="69" t="inlineStr">
        <is>
          <t>🎯 ĐIỀU KIỆN KÍCH HOẠT: [CHẠY SCRIPT / F12 CONSOLE MỚI THẤY - TÍNH NĂNG CHƯA CÓ GIAO DIỆN WEB]
👉 100% Thấy lỗi khi: Trên giao diện web chưa làm nút bấm cho tính năng này. Mở F12 Console gửi POST /api/quests/ai/claim -&gt; Server trả về {success: true, message: 'Nhận thưởng thành công!'} và cộng điểm thưởng dù chưa hoàn thành nhiệm vụ!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75" t="inlineStr">
        <is>
          <t>Resolved (Đã fix - Xem Sheet 13)</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75" t="inlineStr">
        <is>
          <t>Resolved (Đã fix - Xem Sheet 13)</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75" t="inlineStr">
        <is>
          <t>Resolved (Đã fix - Xem Sheet 13)</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75" t="inlineStr">
        <is>
          <t>Resolved (Đã fix - Xem Sheet 13)</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75" t="inlineStr">
        <is>
          <t>Resolved (Đã fix - Xem Sheet 13)</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75" t="inlineStr">
        <is>
          <t>Resolved (Đã fix - Xem Sheet 13)</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75" t="inlineStr">
        <is>
          <t>Resolved (Đã fix - Xem Sheet 13)</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75" t="inlineStr">
        <is>
          <t>Resolved (Đã fix - Xem Sheet 13)</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L26"/>
  <sheetViews>
    <sheetView workbookViewId="0">
      <pane ySplit="9" topLeftCell="A10" activePane="bottomLeft" state="frozen"/>
      <selection pane="bottomLeft" activeCell="A1" sqref="A1"/>
    </sheetView>
  </sheetViews>
  <sheetFormatPr baseColWidth="8" defaultRowHeight="15"/>
  <cols>
    <col width="8" customWidth="1" style="34" min="1" max="1"/>
    <col width="14" customWidth="1" style="34" min="2" max="2"/>
    <col width="16" customWidth="1" style="34" min="3" max="3"/>
    <col width="24" customWidth="1" style="34" min="4" max="4"/>
    <col width="34" customWidth="1" style="34" min="5" max="5"/>
    <col width="18" customWidth="1" style="34" min="6" max="6"/>
    <col width="18" customWidth="1" style="34" min="7" max="7"/>
    <col width="16" customWidth="1" style="34" min="8" max="8"/>
    <col width="22" customWidth="1" style="34" min="9" max="9"/>
    <col width="22" customWidth="1" style="34" min="10" max="10"/>
    <col width="55" customWidth="1" style="34" min="11" max="11"/>
    <col width="30" customWidth="1" style="34" min="12" max="12"/>
  </cols>
  <sheetData>
    <row r="2">
      <c r="A2" s="76" t="inlineStr">
        <is>
          <t>BÁO CÁO KẾT QUẢ TÁI KIỂM THỬ CHU KỲ 2 (DEFECT RE-TESTING LOG - ROUND 2)</t>
        </is>
      </c>
    </row>
    <row r="3">
      <c r="A3" s="77" t="inlineStr">
        <is>
          <t>Đánh giá &amp; Xác minh thực nghiệm độc lập 17 Defects sau khi Dev cập nhật bản sửa lỗi tại Commit 65ae81d (28/10/2026 22:24:20 +07:00)</t>
        </is>
      </c>
    </row>
    <row r="5">
      <c r="A5" s="78" t="inlineStr">
        <is>
          <t>TỔNG DEFECT KIỂM THỬ LẦN 2</t>
        </is>
      </c>
      <c r="B5" s="79" t="n"/>
      <c r="C5" s="79" t="n"/>
      <c r="D5" s="80" t="inlineStr">
        <is>
          <t>SỐ LỖI ĐÃ KHẮC PHỤC (FIXED)</t>
        </is>
      </c>
      <c r="E5" s="79" t="n"/>
      <c r="F5" s="79" t="n"/>
      <c r="G5" s="78" t="inlineStr">
        <is>
          <t>SỐ LỖI CÒN TỒN TẠI (OPEN)</t>
        </is>
      </c>
      <c r="H5" s="79" t="n"/>
      <c r="I5" s="79" t="n"/>
      <c r="J5" s="80" t="inlineStr">
        <is>
          <t>ĐÁNH GIÁ NGHIỆM THU HỆ THỐNG</t>
        </is>
      </c>
      <c r="K5" s="79" t="n"/>
      <c r="L5" s="79" t="n"/>
    </row>
    <row r="6">
      <c r="A6" s="81" t="inlineStr">
        <is>
          <t>17 LỖI</t>
        </is>
      </c>
      <c r="B6" s="79" t="n"/>
      <c r="C6" s="79" t="n"/>
      <c r="D6" s="82" t="inlineStr">
        <is>
          <t>17 / 17 (100.0%)</t>
        </is>
      </c>
      <c r="E6" s="79" t="n"/>
      <c r="F6" s="79" t="n"/>
      <c r="G6" s="83" t="inlineStr">
        <is>
          <t>0 / 17 (0.0%)</t>
        </is>
      </c>
      <c r="H6" s="79" t="n"/>
      <c r="I6" s="79" t="n"/>
      <c r="J6" s="84" t="inlineStr">
        <is>
          <t>ĐẠT CHUẨN ĐÓNG LỖI (100% FIXED)</t>
        </is>
      </c>
      <c r="K6" s="79" t="n"/>
      <c r="L6" s="79" t="n"/>
    </row>
    <row r="7">
      <c r="A7" s="79" t="n"/>
      <c r="B7" s="79" t="n"/>
      <c r="C7" s="79" t="n"/>
      <c r="D7" s="79" t="n"/>
      <c r="E7" s="79" t="n"/>
      <c r="F7" s="79" t="n"/>
      <c r="G7" s="79" t="n"/>
      <c r="H7" s="79" t="n"/>
      <c r="I7" s="79" t="n"/>
      <c r="J7" s="79" t="n"/>
      <c r="K7" s="79" t="n"/>
      <c r="L7" s="79" t="n"/>
    </row>
    <row r="9" ht="35" customHeight="1" s="34">
      <c r="A9" s="85" t="inlineStr">
        <is>
          <t>STT</t>
        </is>
      </c>
      <c r="B9" s="85" t="inlineStr">
        <is>
          <t>Bug ID</t>
        </is>
      </c>
      <c r="C9" s="85" t="inlineStr">
        <is>
          <t>Mã Test Case (TC ID)</t>
        </is>
      </c>
      <c r="D9" s="85" t="inlineStr">
        <is>
          <t>Phân hệ phát sinh</t>
        </is>
      </c>
      <c r="E9" s="85" t="inlineStr">
        <is>
          <t>Tiêu đề lỗi tóm tắt</t>
        </is>
      </c>
      <c r="F9" s="85" t="inlineStr">
        <is>
          <t>Mức độ nghiêm trọng (Severity)</t>
        </is>
      </c>
      <c r="G9" s="85" t="inlineStr">
        <is>
          <t>Kết quả Chu kỳ 1 (Round 1)</t>
        </is>
      </c>
      <c r="H9" s="85" t="inlineStr">
        <is>
          <t>Ngày Retest Lần 2</t>
        </is>
      </c>
      <c r="I9" s="85" t="inlineStr">
        <is>
          <t>Commit kiểm thử</t>
        </is>
      </c>
      <c r="J9" s="85" t="inlineStr">
        <is>
          <t>Kết quả Chu kỳ 2 (Round 2 Status)</t>
        </is>
      </c>
      <c r="K9" s="85" t="inlineStr">
        <is>
          <t>Thực nghiệm kiểm thử &amp; Bằng chứng xác minh Lần 2 (Verification Evidence)</t>
        </is>
      </c>
      <c r="L9" s="85" t="inlineStr">
        <is>
          <t>Đánh giá &amp; Kết luận nghiệm thu (Sign-off)</t>
        </is>
      </c>
    </row>
    <row r="10" ht="55" customHeight="1" s="34">
      <c r="A10" s="86" t="n">
        <v>1</v>
      </c>
      <c r="B10" s="86" t="inlineStr">
        <is>
          <t>BUG_001</t>
        </is>
      </c>
      <c r="C10" s="86" t="inlineStr">
        <is>
          <t>TC_AUTH_004</t>
        </is>
      </c>
      <c r="D10" s="87" t="inlineStr">
        <is>
          <t>Xác thực &amp; Tài khoản (04_TC_Auth_Profile)</t>
        </is>
      </c>
      <c r="E10" s="87" t="inlineStr">
        <is>
          <t>Cho phép đăng ký mật khẩu yếu dưới 6 ký tự qua API</t>
        </is>
      </c>
      <c r="F10" s="86" t="inlineStr">
        <is>
          <t>P2 - Major</t>
        </is>
      </c>
      <c r="G10" s="88" t="inlineStr">
        <is>
          <t>Failed (Open)</t>
        </is>
      </c>
      <c r="H10" s="86" t="inlineStr">
        <is>
          <t>28/10/2026</t>
        </is>
      </c>
      <c r="I10" s="86" t="inlineStr">
        <is>
          <t>65ae81d (28/10/2026 22:24:20)</t>
        </is>
      </c>
      <c r="J10" s="89" t="inlineStr">
        <is>
          <t>FIXED (Đã khắc phục)</t>
        </is>
      </c>
      <c r="K10" s="87" t="inlineStr">
        <is>
          <t>Đã kiểm thử API POST /api/auth/register với payload {"password": "123"}. Hệ thống từ chối chuẩn xác với HTTP 400 Bad Request và phản hồi message: "Mật khẩu phải có ít nhất 6 ký tự." Ràng buộc độ dài tối thiểu đã được thực thi triệt để ở cả tầng Controller backend lẫn form frontend.</t>
        </is>
      </c>
      <c r="L10" s="87" t="inlineStr">
        <is>
          <t>Đạt chuẩn bảo mật mật khẩu. Nghiệm thu Đóng lỗi.</t>
        </is>
      </c>
    </row>
    <row r="11" ht="55" customHeight="1" s="34">
      <c r="A11" s="90" t="n">
        <v>2</v>
      </c>
      <c r="B11" s="90" t="inlineStr">
        <is>
          <t>BUG_002</t>
        </is>
      </c>
      <c r="C11" s="90" t="inlineStr">
        <is>
          <t>TC_AUTH_001</t>
        </is>
      </c>
      <c r="D11" s="91" t="inlineStr">
        <is>
          <t>Xác thực &amp; Tài khoản (04_TC_Auth_Profile)</t>
        </is>
      </c>
      <c r="E11" s="91" t="inlineStr">
        <is>
          <t>Thiếu Regex kiểm tra định dạng Email khi đăng ký tài khoản</t>
        </is>
      </c>
      <c r="F11" s="90" t="inlineStr">
        <is>
          <t>P2 - Major</t>
        </is>
      </c>
      <c r="G11" s="88" t="inlineStr">
        <is>
          <t>Failed (Open)</t>
        </is>
      </c>
      <c r="H11" s="90" t="inlineStr">
        <is>
          <t>28/10/2026</t>
        </is>
      </c>
      <c r="I11" s="90" t="inlineStr">
        <is>
          <t>65ae81d (28/10/2026 22:24:20)</t>
        </is>
      </c>
      <c r="J11" s="89" t="inlineStr">
        <is>
          <t>FIXED (Đã khắc phục)</t>
        </is>
      </c>
      <c r="K11" s="91" t="inlineStr">
        <is>
          <t>Đã kiểm thử API POST /api/auth/register với email không có domain ("invalid_email_format"). Hệ thống trả về HTTP 400 Bad Request: "Địa chỉ email không đúng định dạng hợp lệ." Hàm IsValidEmail bằng Regex chuẩn RFC đã được tích hợp chặt chẽ.</t>
        </is>
      </c>
      <c r="L11" s="91" t="inlineStr">
        <is>
          <t>Đạt chuẩn toàn vẹn dữ liệu Email. Nghiệm thu Đóng lỗi.</t>
        </is>
      </c>
    </row>
    <row r="12" ht="55" customHeight="1" s="34">
      <c r="A12" s="86" t="n">
        <v>3</v>
      </c>
      <c r="B12" s="86" t="inlineStr">
        <is>
          <t>BUG_003</t>
        </is>
      </c>
      <c r="C12" s="86" t="inlineStr">
        <is>
          <t>TC_ADM_002</t>
        </is>
      </c>
      <c r="D12" s="87" t="inlineStr">
        <is>
          <t>Phân hệ Quản trị viên (10_TC_Admin_System)</t>
        </is>
      </c>
      <c r="E12" s="87" t="inlineStr">
        <is>
          <t>Truy cập /Admin khi chưa phân quyền trả về 302 Redirect thay vì 403 Forbidden</t>
        </is>
      </c>
      <c r="F12" s="86" t="inlineStr">
        <is>
          <t>P2 - Major</t>
        </is>
      </c>
      <c r="G12" s="88" t="inlineStr">
        <is>
          <t>Failed (Open)</t>
        </is>
      </c>
      <c r="H12" s="86" t="inlineStr">
        <is>
          <t>28/10/2026</t>
        </is>
      </c>
      <c r="I12" s="86" t="inlineStr">
        <is>
          <t>65ae81d (28/10/2026 22:24:20)</t>
        </is>
      </c>
      <c r="J12" s="89" t="inlineStr">
        <is>
          <t>FIXED (Đã khắc phục)</t>
        </is>
      </c>
      <c r="K12" s="87" t="inlineStr">
        <is>
          <t>Gửi HTTP GET trực tiếp tới /Admin khi chưa đăng nhập quyền Admin. Hệ thống trả về chính xác mã trạng thái chuẩn RESTful HTTP 403 Forbidden (thay vì 302 Redirect lặp vòng sang login). Cấu hình OnRedirectToAccessDenied và OnRedirectToLogin trong Program.cs hoạt động chính xác.</t>
        </is>
      </c>
      <c r="L12" s="87" t="inlineStr">
        <is>
          <t>Đạt chuẩn phân quyền HTTP Security. Nghiệm thu Đóng lỗi.</t>
        </is>
      </c>
    </row>
    <row r="13" ht="55" customHeight="1" s="34">
      <c r="A13" s="90" t="n">
        <v>4</v>
      </c>
      <c r="B13" s="90" t="inlineStr">
        <is>
          <t>BUG_004</t>
        </is>
      </c>
      <c r="C13" s="90" t="inlineStr">
        <is>
          <t>TC_ONL_015</t>
        </is>
      </c>
      <c r="D13" s="91" t="inlineStr">
        <is>
          <t>Đấu trực tuyến &amp; Vận hành ván cờ (07_TC_Online_SignalR)</t>
        </is>
      </c>
      <c r="E13" s="91" t="inlineStr">
        <is>
          <t>Vẫn cho phép đi quân cờ sau khi người chơi đã bấm Xin hàng (Surrender)</t>
        </is>
      </c>
      <c r="F13" s="90" t="inlineStr">
        <is>
          <t>P1 - Blocker</t>
        </is>
      </c>
      <c r="G13" s="88" t="inlineStr">
        <is>
          <t>Failed (Open)</t>
        </is>
      </c>
      <c r="H13" s="90" t="inlineStr">
        <is>
          <t>28/10/2026</t>
        </is>
      </c>
      <c r="I13" s="90" t="inlineStr">
        <is>
          <t>65ae81d (28/10/2026 22:24:20)</t>
        </is>
      </c>
      <c r="J13" s="89" t="inlineStr">
        <is>
          <t>FIXED (Đã khắc phục)</t>
        </is>
      </c>
      <c r="K13" s="91" t="inlineStr">
        <is>
          <t>Đã thử nghiệm quy trình Xin hàng trên ván cờ đang diễn ra. Khi người chơi gửi yêu cầu resign, game ngay lập tức chuyển trạng thái "BlackWins"/"RedWins" (HTTP 200). Các nước đi tiếp theo bị backend chặn đứng 100% với HTTP 400 "Ván đấu đã kết thúc." File game.js đã bổ sung gửi kèm JWT Authorization header và credentials.</t>
        </is>
      </c>
      <c r="L13" s="91" t="inlineStr">
        <is>
          <t>Xử lý kết thúc ván cờ triệt để. Nghiệm thu Đóng lỗi Blocker.</t>
        </is>
      </c>
    </row>
    <row r="14" ht="55" customHeight="1" s="34">
      <c r="A14" s="86" t="n">
        <v>5</v>
      </c>
      <c r="B14" s="86" t="inlineStr">
        <is>
          <t>BUG_005</t>
        </is>
      </c>
      <c r="C14" s="86" t="inlineStr">
        <is>
          <t>TC_COU_009</t>
        </is>
      </c>
      <c r="D14" s="87" t="inlineStr">
        <is>
          <t>Học viện &amp; Kỳ phổ (09_TC_Course_Master)</t>
        </is>
      </c>
      <c r="E14" s="87" t="inlineStr">
        <is>
          <t>Chuyển hướng âm thầm (Silent Redirect) nuốt mất thông báo cảnh báo chứng chỉ</t>
        </is>
      </c>
      <c r="F14" s="86" t="inlineStr">
        <is>
          <t>P2 - Major</t>
        </is>
      </c>
      <c r="G14" s="88" t="inlineStr">
        <is>
          <t>Failed (Open)</t>
        </is>
      </c>
      <c r="H14" s="86" t="inlineStr">
        <is>
          <t>28/10/2026</t>
        </is>
      </c>
      <c r="I14" s="86" t="inlineStr">
        <is>
          <t>65ae81d (28/10/2026 22:24:20)</t>
        </is>
      </c>
      <c r="J14" s="89" t="inlineStr">
        <is>
          <t>FIXED (Đã khắc phục)</t>
        </is>
      </c>
      <c r="K14" s="87" t="inlineStr">
        <is>
          <t>Đăng nhập tài khoản 0% tiến độ và truy cập URL /Course/Certificate. Hệ thống chặn cấp chứng chỉ, đồng thời chuyển hướng về /Course và hiển thị nổi bật Banner cảnh báo vàng trang trọng: "Bạn cần hoàn thành đầy đủ cả 4 Module để được cấp Chứng chỉ hoàn thành." Người dùng được giải thích lý do minh bạch, không còn chuyển hướng âm thầm.</t>
        </is>
      </c>
      <c r="L14" s="87" t="inlineStr">
        <is>
          <t>Trải nghiệm người dùng và nghiệp vụ khóa học hoàn hảo. Nghiệm thu Đóng lỗi.</t>
        </is>
      </c>
    </row>
    <row r="15" ht="55" customHeight="1" s="34">
      <c r="A15" s="90" t="n">
        <v>6</v>
      </c>
      <c r="B15" s="90" t="inlineStr">
        <is>
          <t>BUG_006</t>
        </is>
      </c>
      <c r="C15" s="90" t="inlineStr">
        <is>
          <t>TC_COU_008</t>
        </is>
      </c>
      <c r="D15" s="91" t="inlineStr">
        <is>
          <t>Học viện &amp; Kỳ phổ (09_TC_Course_Master)</t>
        </is>
      </c>
      <c r="E15" s="91" t="inlineStr">
        <is>
          <t>API tiến độ khóa học không chặn ngưỡng điểm Quiz (Chấp nhận điểm 999999%)</t>
        </is>
      </c>
      <c r="F15" s="90" t="inlineStr">
        <is>
          <t>P3 - Minor</t>
        </is>
      </c>
      <c r="G15" s="88" t="inlineStr">
        <is>
          <t>Failed (Open)</t>
        </is>
      </c>
      <c r="H15" s="90" t="inlineStr">
        <is>
          <t>28/10/2026</t>
        </is>
      </c>
      <c r="I15" s="90" t="inlineStr">
        <is>
          <t>65ae81d (28/10/2026 22:24:20)</t>
        </is>
      </c>
      <c r="J15" s="89" t="inlineStr">
        <is>
          <t>FIXED (Đã khắc phục)</t>
        </is>
      </c>
      <c r="K15" s="91" t="inlineStr">
        <is>
          <t>Gửi POST /api/courses/progress với quizScore = 999999. Backend sử dụng Math.Clamp(request.QuizScore, 0, 100) để giới hạn điểm số trong khoảng [0, 100], loại bỏ hoàn toàn khả năng ghi nhận điểm số bất thường vào database đối với cả người dùng đã đăng nhập lẫn khách vãng lai.</t>
        </is>
      </c>
      <c r="L15" s="91" t="inlineStr">
        <is>
          <t>Toàn vẹn dữ liệu điểm số Quiz. Nghiệm thu Đóng lỗi.</t>
        </is>
      </c>
    </row>
    <row r="16" ht="55" customHeight="1" s="34">
      <c r="A16" s="86" t="n">
        <v>7</v>
      </c>
      <c r="B16" s="86" t="inlineStr">
        <is>
          <t>BUG_007</t>
        </is>
      </c>
      <c r="C16" s="86" t="inlineStr">
        <is>
          <t>TC_ADM_009</t>
        </is>
      </c>
      <c r="D16" s="87" t="inlineStr">
        <is>
          <t>Phân hệ Quản trị viên (10_TC_Admin_System)</t>
        </is>
      </c>
      <c r="E16" s="87" t="inlineStr">
        <is>
          <t>Chức năng Xóa bài cờ thế trong Admin trả về HTTP 200 khi ID không tồn tại</t>
        </is>
      </c>
      <c r="F16" s="86" t="inlineStr">
        <is>
          <t>P3 - Minor</t>
        </is>
      </c>
      <c r="G16" s="88" t="inlineStr">
        <is>
          <t>Failed (Open)</t>
        </is>
      </c>
      <c r="H16" s="86" t="inlineStr">
        <is>
          <t>28/10/2026</t>
        </is>
      </c>
      <c r="I16" s="86" t="inlineStr">
        <is>
          <t>65ae81d (28/10/2026 22:24:20)</t>
        </is>
      </c>
      <c r="J16" s="89" t="inlineStr">
        <is>
          <t>FIXED (Đã khắc phục)</t>
        </is>
      </c>
      <c r="K16" s="87" t="inlineStr">
        <is>
          <t>Kiểm tra action DeletePuzzle trong AdminController.cs với ID thế cờ không tồn tại (ID 999999). Mã nguồn đã bổ sung kiểm tra tồn tại và trả về đúng HTTP 404 NotFound kèm TempData thông báo lỗi rõ ràng thay vì bỏ qua âm thầm.</t>
        </is>
      </c>
      <c r="L16" s="87" t="inlineStr">
        <is>
          <t>Xử lý ngoại lệ chuẩn HTTP 404. Nghiệm thu Đóng lỗi.</t>
        </is>
      </c>
    </row>
    <row r="17" ht="55" customHeight="1" s="34">
      <c r="A17" s="90" t="n">
        <v>8</v>
      </c>
      <c r="B17" s="90" t="inlineStr">
        <is>
          <t>BUG_008</t>
        </is>
      </c>
      <c r="C17" s="90" t="inlineStr">
        <is>
          <t>TC_AUTH_011</t>
        </is>
      </c>
      <c r="D17" s="91" t="inlineStr">
        <is>
          <t>Xác thực &amp; Tài khoản (04_TC_Auth_Profile)</t>
        </is>
      </c>
      <c r="E17" s="91" t="inlineStr">
        <is>
          <t>Rò rỉ mã OTP đặt lại mật khẩu trực tiếp lên giao diện khi lỗi SMTP</t>
        </is>
      </c>
      <c r="F17" s="90" t="inlineStr">
        <is>
          <t>P1 - Blocker</t>
        </is>
      </c>
      <c r="G17" s="88" t="inlineStr">
        <is>
          <t>Failed (Open)</t>
        </is>
      </c>
      <c r="H17" s="90" t="inlineStr">
        <is>
          <t>28/10/2026</t>
        </is>
      </c>
      <c r="I17" s="90" t="inlineStr">
        <is>
          <t>65ae81d (28/10/2026 22:24:20)</t>
        </is>
      </c>
      <c r="J17" s="89" t="inlineStr">
        <is>
          <t>FIXED (Đã khắc phục)</t>
        </is>
      </c>
      <c r="K17" s="91" t="inlineStr">
        <is>
          <t>Kiểm tra chức năng Quên mật khẩu trong tình huống lỗi SMTP / không kết nối được máy chủ mail. TempData["OtpMessage"] đã loại bỏ hoàn toàn chuỗi in OTP thử nghiệm, chỉ hiển thị thông báo trung tính: "Không thể gửi email OTP lúc này. Vui lòng kiểm tra kết nối mạng hoặc thử lại sau." Triệt tiêu 100% rò rỉ mã OTP bí mật.</t>
        </is>
      </c>
      <c r="L17" s="91" t="inlineStr">
        <is>
          <t>Khắc phục triệt để lỗ hổng an ninh nghiêm trọng. Nghiệm thu Đóng lỗi Blocker.</t>
        </is>
      </c>
    </row>
    <row r="18" ht="55" customHeight="1" s="34">
      <c r="A18" s="86" t="n">
        <v>9</v>
      </c>
      <c r="B18" s="86" t="inlineStr">
        <is>
          <t>BUG_009</t>
        </is>
      </c>
      <c r="C18" s="86" t="inlineStr">
        <is>
          <t>TC_AUTH_016</t>
        </is>
      </c>
      <c r="D18" s="87" t="inlineStr">
        <is>
          <t>Xác thực &amp; Tài khoản (04_TC_Auth_Profile)</t>
        </is>
      </c>
      <c r="E18" s="87" t="inlineStr">
        <is>
          <t>Nhận thưởng nhiệm vụ ngày không kiểm tra điều kiện hoàn thành và cho phép spam nhận thưởng liên tục</t>
        </is>
      </c>
      <c r="F18" s="86" t="inlineStr">
        <is>
          <t>P2 - Major</t>
        </is>
      </c>
      <c r="G18" s="88" t="inlineStr">
        <is>
          <t>Failed (Open)</t>
        </is>
      </c>
      <c r="H18" s="86" t="inlineStr">
        <is>
          <t>28/10/2026</t>
        </is>
      </c>
      <c r="I18" s="86" t="inlineStr">
        <is>
          <t>65ae81d (28/10/2026 22:24:20)</t>
        </is>
      </c>
      <c r="J18" s="89" t="inlineStr">
        <is>
          <t>FIXED (Đã khắc phục)</t>
        </is>
      </c>
      <c r="K18" s="87" t="inlineStr">
        <is>
          <t>Gửi POST /api/quests/ai/claim khi tài khoản chưa có trận thắng AI nào. Hệ thống từ chối với HTTP 400: "Bạn chưa hoàn thành mục tiêu của nhiệm vụ này để nhận thưởng." Đồng thời bộ nhớ cache _claimedQuests đảm bảo mỗi nhiệm vụ chỉ được nhận thưởng duy nhất 1 lần trong ngày, chống spam tuyệt đối.</t>
        </is>
      </c>
      <c r="L18" s="87" t="inlineStr">
        <is>
          <t>Logic nhận thưởng nhiệm vụ đạt chuẩn chặt chẽ. Nghiệm thu Đóng lỗi.</t>
        </is>
      </c>
    </row>
    <row r="19" ht="55" customHeight="1" s="34">
      <c r="A19" s="90" t="n">
        <v>10</v>
      </c>
      <c r="B19" s="90" t="inlineStr">
        <is>
          <t>BUG_010</t>
        </is>
      </c>
      <c r="C19" s="90" t="inlineStr">
        <is>
          <t>TC_AUTH_010</t>
        </is>
      </c>
      <c r="D19" s="91" t="inlineStr">
        <is>
          <t>Xác thực &amp; Tài khoản (04_TC_Auth_Profile)</t>
        </is>
      </c>
      <c r="E19" s="91" t="inlineStr">
        <is>
          <t>Thiếu cơ chế Rate Limiting và khóa tài khoản khi đăng nhập sai nhiều lần (Brute-Force Vulnerability)</t>
        </is>
      </c>
      <c r="F19" s="90" t="inlineStr">
        <is>
          <t>P2 - Major</t>
        </is>
      </c>
      <c r="G19" s="88" t="inlineStr">
        <is>
          <t>Failed (Open)</t>
        </is>
      </c>
      <c r="H19" s="90" t="inlineStr">
        <is>
          <t>28/10/2026</t>
        </is>
      </c>
      <c r="I19" s="90" t="inlineStr">
        <is>
          <t>65ae81d (28/10/2026 22:24:20)</t>
        </is>
      </c>
      <c r="J19" s="89" t="inlineStr">
        <is>
          <t>FIXED (Đã khắc phục)</t>
        </is>
      </c>
      <c r="K19" s="91" t="inlineStr">
        <is>
          <t>Gửi 5 yêu cầu đăng nhập sai mật khẩu liên tiếp. Tại lần thứ 5, hệ thống lập tức kích hoạt khóa bảo vệ IP và tài khoản, trả về HTTP 429 Too Many Requests: "Bạn đã nhập sai mật khẩu 5 lần liên tiếp. Tài khoản tạm thời bị khóa trong 1 phút để bảo mật." Chống tấn công dò mật khẩu tự động hiệu quả.</t>
        </is>
      </c>
      <c r="L19" s="91" t="inlineStr">
        <is>
          <t>Đạt chuẩn an ninh chống Brute-force OWASP. Nghiệm thu Đóng lỗi.</t>
        </is>
      </c>
    </row>
    <row r="20" ht="55" customHeight="1" s="34">
      <c r="A20" s="86" t="n">
        <v>11</v>
      </c>
      <c r="B20" s="86" t="inlineStr">
        <is>
          <t>BUG_011</t>
        </is>
      </c>
      <c r="C20" s="86" t="inlineStr">
        <is>
          <t>TC_GAME_013</t>
        </is>
      </c>
      <c r="D20" s="87" t="inlineStr">
        <is>
          <t>Vận hành ván cờ &amp; AI (06_TC_Game_Play)</t>
        </is>
      </c>
      <c r="E20" s="87" t="inlineStr">
        <is>
          <t>Tạo ván cờ với chuỗi FEN sai cú pháp âm thầm nuốt lỗi và tự động gán thế cờ mặc định</t>
        </is>
      </c>
      <c r="F20" s="86" t="inlineStr">
        <is>
          <t>P3 - Minor</t>
        </is>
      </c>
      <c r="G20" s="88" t="inlineStr">
        <is>
          <t>Failed (Open)</t>
        </is>
      </c>
      <c r="H20" s="86" t="inlineStr">
        <is>
          <t>28/10/2026</t>
        </is>
      </c>
      <c r="I20" s="86" t="inlineStr">
        <is>
          <t>65ae81d (28/10/2026 22:24:20)</t>
        </is>
      </c>
      <c r="J20" s="89" t="inlineStr">
        <is>
          <t>FIXED (Đã khắc phục)</t>
        </is>
      </c>
      <c r="K20" s="87" t="inlineStr">
        <is>
          <t>Gửi POST /api/games với initialFen không hợp lệ. Hệ thống gọi Board.TryParseFen, phát hiện lỗi cú pháp và trả về HTTP 400 Bad Request kèm chi tiết nguyên nhân: "Chuỗi FEN không hợp lệ: FEN phải có đúng 10 hàng, ngăn cách bằng dấu '/'." Không còn nuốt lỗi hoặc tự ý gán bàn cờ chuẩn.</t>
        </is>
      </c>
      <c r="L20" s="87" t="inlineStr">
        <is>
          <t>Bắt lỗi FEN chặt chẽ và tường minh. Nghiệm thu Đóng lỗi.</t>
        </is>
      </c>
    </row>
    <row r="21" ht="55" customHeight="1" s="34">
      <c r="A21" s="90" t="n">
        <v>12</v>
      </c>
      <c r="B21" s="90" t="inlineStr">
        <is>
          <t>BUG_012</t>
        </is>
      </c>
      <c r="C21" s="90" t="inlineStr">
        <is>
          <t>TC_ONL_016</t>
        </is>
      </c>
      <c r="D21" s="91" t="inlineStr">
        <is>
          <t>Đấu trực tuyến &amp; Vận hành ván cờ (07_TC_Online_SignalR)</t>
        </is>
      </c>
      <c r="E21" s="91" t="inlineStr">
        <is>
          <t>Tái đấu (Rematch) ép đối thủ vào ván mới mà không cần đối thủ xác nhận đồng ý</t>
        </is>
      </c>
      <c r="F21" s="90" t="inlineStr">
        <is>
          <t>P2 - Major</t>
        </is>
      </c>
      <c r="G21" s="88" t="inlineStr">
        <is>
          <t>Failed (Open)</t>
        </is>
      </c>
      <c r="H21" s="90" t="inlineStr">
        <is>
          <t>28/10/2026</t>
        </is>
      </c>
      <c r="I21" s="90" t="inlineStr">
        <is>
          <t>65ae81d (28/10/2026 22:24:20)</t>
        </is>
      </c>
      <c r="J21" s="89" t="inlineStr">
        <is>
          <t>FIXED (Đã khắc phục)</t>
        </is>
      </c>
      <c r="K21" s="91" t="inlineStr">
        <is>
          <t>Kiểm tra quy trình POST /api/games/{id}/rematch. Khi người chơi thứ nhất bấm Tái đấu, backend lưu vào _rematchOffers, phát sự kiện SignalR RematchOffered ("Đối thủ gửi lời mời tái đấu. Bạn có đồng ý không?") và trả về thông báo chờ đối thủ. Chỉ khi người chơi thứ hai xác nhận đồng ý thì trận đấu mới chính thức được khởi tạo.</t>
        </is>
      </c>
      <c r="L21" s="91" t="inlineStr">
        <is>
          <t>Quy trình bắt tay 2 pha chuẩn mực cho game đối kháng Online. Nghiệm thu Đóng lỗi.</t>
        </is>
      </c>
    </row>
    <row r="22" ht="55" customHeight="1" s="34">
      <c r="A22" s="86" t="n">
        <v>13</v>
      </c>
      <c r="B22" s="86" t="inlineStr">
        <is>
          <t>BUG_013</t>
        </is>
      </c>
      <c r="C22" s="86" t="inlineStr">
        <is>
          <t>TC_COU_006</t>
        </is>
      </c>
      <c r="D22" s="87" t="inlineStr">
        <is>
          <t>Học viện &amp; Kỳ phổ (09_TC_Course_Master)</t>
        </is>
      </c>
      <c r="E22" s="87" t="inlineStr">
        <is>
          <t>API lưu tiến độ học tập của Khách vãng lai trả về HTTP 200 cho Lesson ID không tồn tại</t>
        </is>
      </c>
      <c r="F22" s="86" t="inlineStr">
        <is>
          <t>P3 - Minor</t>
        </is>
      </c>
      <c r="G22" s="88" t="inlineStr">
        <is>
          <t>Failed (Open)</t>
        </is>
      </c>
      <c r="H22" s="86" t="inlineStr">
        <is>
          <t>28/10/2026</t>
        </is>
      </c>
      <c r="I22" s="86" t="inlineStr">
        <is>
          <t>65ae81d (28/10/2026 22:24:20)</t>
        </is>
      </c>
      <c r="J22" s="89" t="inlineStr">
        <is>
          <t>FIXED (Đã khắc phục)</t>
        </is>
      </c>
      <c r="K22" s="87" t="inlineStr">
        <is>
          <t>Gửi POST /api/courses/progress với lessonId = 999999 khi chưa đăng nhập. Backend kiểm tra _context.CourseLessons.AnyAsync, nhận thấy ID không tồn tại và trả về HTTP 404 NotFound: "Không tìm thấy bài học trong hệ thống." Ngăn chặn dữ liệu ảo.</t>
        </is>
      </c>
      <c r="L22" s="87" t="inlineStr">
        <is>
          <t>Xác thực tính hợp lệ của khóa ngoại chính xác. Nghiệm thu Đóng lỗi.</t>
        </is>
      </c>
    </row>
    <row r="23" ht="55" customHeight="1" s="34">
      <c r="A23" s="90" t="n">
        <v>14</v>
      </c>
      <c r="B23" s="90" t="inlineStr">
        <is>
          <t>BUG_014</t>
        </is>
      </c>
      <c r="C23" s="90" t="inlineStr">
        <is>
          <t>TC_ADM_005</t>
        </is>
      </c>
      <c r="D23" s="91" t="inlineStr">
        <is>
          <t>Phân hệ Quản trị viên (10_TC_Admin_System)</t>
        </is>
      </c>
      <c r="E23" s="91" t="inlineStr">
        <is>
          <t>Chức năng Khóa / Mở khóa người dùng hoàn toàn chưa được hiện thực trong CSDL và Controller</t>
        </is>
      </c>
      <c r="F23" s="90" t="inlineStr">
        <is>
          <t>P2 - Major</t>
        </is>
      </c>
      <c r="G23" s="88" t="inlineStr">
        <is>
          <t>Failed (Open)</t>
        </is>
      </c>
      <c r="H23" s="90" t="inlineStr">
        <is>
          <t>28/10/2026</t>
        </is>
      </c>
      <c r="I23" s="90" t="inlineStr">
        <is>
          <t>65ae81d (28/10/2026 22:24:20)</t>
        </is>
      </c>
      <c r="J23" s="89" t="inlineStr">
        <is>
          <t>FIXED (Đã khắc phục)</t>
        </is>
      </c>
      <c r="K23" s="91" t="inlineStr">
        <is>
          <t>Kiểm tra đồng bộ 3 tầng: (1) CSDL có thuộc tính IsLocked kiểu bool trong Model User; (2) AdminController.cs có action ToggleLockUser xử lý đảo trạng thái khóa; (3) View Users.cshtml hiển thị nút Khóa / Mở khóa động, icon fa-lock / fa-lock-open và badge trạng thái tài khoản. Thử nghiệm khóa tài khoản thành công 100%.</t>
        </is>
      </c>
      <c r="L23" s="91" t="inlineStr">
        <is>
          <t>Tính năng quản trị người dùng hoàn chỉnh toàn diện. Nghiệm thu Đóng lỗi.</t>
        </is>
      </c>
    </row>
    <row r="24" ht="55" customHeight="1" s="34">
      <c r="A24" s="86" t="n">
        <v>15</v>
      </c>
      <c r="B24" s="86" t="inlineStr">
        <is>
          <t>BUG_015</t>
        </is>
      </c>
      <c r="C24" s="86" t="inlineStr">
        <is>
          <t>TC_ADM_008</t>
        </is>
      </c>
      <c r="D24" s="87" t="inlineStr">
        <is>
          <t>Phân hệ Quản trị viên (10_TC_Admin_System)</t>
        </is>
      </c>
      <c r="E24" s="87" t="inlineStr">
        <is>
          <t>CMS Admin cho phép thêm bài cờ thế với chuỗi FEN sai cú pháp hoặc rác vào CSDL</t>
        </is>
      </c>
      <c r="F24" s="86" t="inlineStr">
        <is>
          <t>P3 - Minor</t>
        </is>
      </c>
      <c r="G24" s="88" t="inlineStr">
        <is>
          <t>Failed (Open)</t>
        </is>
      </c>
      <c r="H24" s="86" t="inlineStr">
        <is>
          <t>28/10/2026</t>
        </is>
      </c>
      <c r="I24" s="86" t="inlineStr">
        <is>
          <t>65ae81d (28/10/2026 22:24:20)</t>
        </is>
      </c>
      <c r="J24" s="89" t="inlineStr">
        <is>
          <t>FIXED (Đã khắc phục)</t>
        </is>
      </c>
      <c r="K24" s="87" t="inlineStr">
        <is>
          <t>Kiểm tra action CreatePuzzle và EditPuzzle trong AdminController. Cả hai action đều sử dụng Board.TryParseFen(puzzle.Fen.Trim(), out _, out string fenError) để kiểm tra chặt chẽ cấu trúc FEN trước khi cho phép lưu. Nếu FEN sai, hệ thống lập tức thông báo lỗi và không cho ghi vào CSDL.</t>
        </is>
      </c>
      <c r="L24" s="87" t="inlineStr">
        <is>
          <t>Ngăn ngừa lỗi hỏng bàn cờ thế trên CMS Admin. Nghiệm thu Đóng lỗi.</t>
        </is>
      </c>
    </row>
    <row r="25" ht="55" customHeight="1" s="34">
      <c r="A25" s="90" t="n">
        <v>16</v>
      </c>
      <c r="B25" s="90" t="inlineStr">
        <is>
          <t>BUG_016</t>
        </is>
      </c>
      <c r="C25" s="90" t="inlineStr">
        <is>
          <t>TC_AUTH_002</t>
        </is>
      </c>
      <c r="D25" s="91" t="inlineStr">
        <is>
          <t>Xác thực &amp; Tài khoản (04_TC_Auth_Profile)</t>
        </is>
      </c>
      <c r="E25" s="91" t="inlineStr">
        <is>
          <t>Cho phép đăng ký Username chứa mã độc XSS &lt;script&gt; không được lọc rửa (Stored XSS)</t>
        </is>
      </c>
      <c r="F25" s="90" t="inlineStr">
        <is>
          <t>P2 - Major</t>
        </is>
      </c>
      <c r="G25" s="88" t="inlineStr">
        <is>
          <t>Failed (Open)</t>
        </is>
      </c>
      <c r="H25" s="90" t="inlineStr">
        <is>
          <t>28/10/2026</t>
        </is>
      </c>
      <c r="I25" s="90" t="inlineStr">
        <is>
          <t>65ae81d (28/10/2026 22:24:20)</t>
        </is>
      </c>
      <c r="J25" s="89" t="inlineStr">
        <is>
          <t>FIXED (Đã khắc phục)</t>
        </is>
      </c>
      <c r="K25" s="91" t="inlineStr">
        <is>
          <t>Gửi POST /api/auth/register với username chứa payload XSS '&lt;script&gt;alert(1)&lt;/script&gt;'. Backend bắt lỗi và trả về HTTP 400 Bad Request: "Tên đăng nhập không hợp lệ. Chỉ chấp nhận chữ cái, số, gạch dưới (_) hoặc gạch ngang (-) từ 3 đến 30 ký tự, không chứa ký tự đặc biệt hoặc mã script." Triệt tiêu hoàn toàn Stored XSS.</t>
        </is>
      </c>
      <c r="L25" s="91" t="inlineStr">
        <is>
          <t>Đạt chuẩn an ninh bảo vệ chống XSS. Nghiệm thu Đóng lỗi.</t>
        </is>
      </c>
    </row>
    <row r="26" ht="55" customHeight="1" s="34">
      <c r="A26" s="86" t="n">
        <v>17</v>
      </c>
      <c r="B26" s="86" t="inlineStr">
        <is>
          <t>BUG_017</t>
        </is>
      </c>
      <c r="C26" s="86" t="inlineStr">
        <is>
          <t>TC_GAME_001</t>
        </is>
      </c>
      <c r="D26" s="87" t="inlineStr">
        <is>
          <t>Chế độ chơi &amp; AI (06_TC_Game_Play)</t>
        </is>
      </c>
      <c r="E26" s="87" t="inlineStr">
        <is>
          <t>API tạo ván cờ chấp nhận thời gian thi đấu âm (timeControl = -999)</t>
        </is>
      </c>
      <c r="F26" s="86" t="inlineStr">
        <is>
          <t>P3 - Minor</t>
        </is>
      </c>
      <c r="G26" s="88" t="inlineStr">
        <is>
          <t>Failed (Open)</t>
        </is>
      </c>
      <c r="H26" s="86" t="inlineStr">
        <is>
          <t>28/10/2026</t>
        </is>
      </c>
      <c r="I26" s="86" t="inlineStr">
        <is>
          <t>65ae81d (28/10/2026 22:24:20)</t>
        </is>
      </c>
      <c r="J26" s="89" t="inlineStr">
        <is>
          <t>FIXED (Đã khắc phục)</t>
        </is>
      </c>
      <c r="K26" s="87" t="inlineStr">
        <is>
          <t>Gửi POST /api/games với timeControl = -999. Backend kiểm tra targetTime.Value &lt;= 0 || targetTime.Value &gt; 180 và trả về HTTP 400 Bad Request: "Thời gian thi đấu không hợp lệ. Phải từ 1 đến 180 phút." Loại bỏ hoàn toàn lỗi đồng hồ đếm ngược âm.</t>
        </is>
      </c>
      <c r="L26" s="87" t="inlineStr">
        <is>
          <t>Ràng buộc thời gian thi đấu chuẩn xác. Nghiệm thu Đóng lỗi.</t>
        </is>
      </c>
    </row>
  </sheetData>
  <mergeCells count="10">
    <mergeCell ref="J5:L5"/>
    <mergeCell ref="A2:L2"/>
    <mergeCell ref="A6:C7"/>
    <mergeCell ref="D6:F7"/>
    <mergeCell ref="G6:I7"/>
    <mergeCell ref="J6:L7"/>
    <mergeCell ref="D5:F5"/>
    <mergeCell ref="A5:C5"/>
    <mergeCell ref="G5:I5"/>
    <mergeCell ref="A3: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2026-10-28T16:45:55Z</dcterms:modified>
  <cp:lastModifiedBy>Chu Văn Quốc Trung</cp:lastModifiedBy>
</cp:coreProperties>
</file>