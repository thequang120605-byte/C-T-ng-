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37">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s>
  <fills count="18">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s>
  <borders count="49">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0">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3"/>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2.05" customHeight="1" s="34">
      <c r="B13" s="1" t="inlineStr">
        <is>
          <t>Ngày bắt đầu kiểm thử:</t>
        </is>
      </c>
      <c r="C13" s="30" t="inlineStr">
        <is>
          <t>27/10/2026</t>
        </is>
      </c>
      <c r="D13" s="31" t="n"/>
      <c r="E13" s="32" t="n"/>
    </row>
    <row r="14" ht="22.05" customHeight="1" s="34">
      <c r="B14" s="1" t="inlineStr">
        <is>
          <t>Người thực hiện kiểm thử (Tester):</t>
        </is>
      </c>
      <c r="C14" s="30" t="inlineStr">
        <is>
          <t>Tester độc lập (Bộ Test Runner Tự động)</t>
        </is>
      </c>
      <c r="D14" s="31" t="n"/>
      <c r="E14" s="32" t="n"/>
    </row>
    <row r="15" ht="22.05" customHeight="1" s="34">
      <c r="B15" s="1" t="inlineStr">
        <is>
          <t>Phiên bản tài liệu (Version):</t>
        </is>
      </c>
      <c r="C15" s="38" t="inlineStr">
        <is>
          <t>v2.0</t>
        </is>
      </c>
      <c r="D15" s="31" t="n"/>
      <c r="E15" s="32" t="n"/>
    </row>
    <row r="16" ht="22.05" customHeight="1" s="34">
      <c r="B16" s="1" t="inlineStr">
        <is>
          <t>Tình trạng kết quả:</t>
        </is>
      </c>
      <c r="C16" s="30" t="inlineStr">
        <is>
          <t>Đã hoàn tất kiểm thử chu kỳ 1</t>
        </is>
      </c>
      <c r="D16" s="31" t="n"/>
      <c r="E16" s="32" t="n"/>
    </row>
    <row r="18" ht="16.8" customHeight="1" s="34">
      <c r="B18" s="33" t="inlineStr">
        <is>
          <t>2. LỊCH SỬ CẬP NHẬT TÀI LIỆU</t>
        </is>
      </c>
    </row>
    <row r="20" ht="15" customHeight="1" s="34">
      <c r="B20" s="39" t="inlineStr">
        <is>
          <t>Phiên bản</t>
        </is>
      </c>
      <c r="C20" s="39" t="inlineStr">
        <is>
          <t>Ngày cập nhật</t>
        </is>
      </c>
      <c r="D20" s="39" t="inlineStr">
        <is>
          <t>Tác giả</t>
        </is>
      </c>
      <c r="E20" s="39" t="inlineStr">
        <is>
          <t>Mô tả thay đổi</t>
        </is>
      </c>
    </row>
    <row r="21" ht="22.05" customHeight="1" s="34">
      <c r="B21" s="4" t="inlineStr">
        <is>
          <t>v1.0</t>
        </is>
      </c>
      <c r="C21" s="4" t="inlineStr">
        <is>
          <t>20/10/2026</t>
        </is>
      </c>
      <c r="D21" s="4" t="inlineStr">
        <is>
          <t>Tác giả đồ án</t>
        </is>
      </c>
      <c r="E21" s="30" t="inlineStr">
        <is>
          <t>Khởi tạo bộ kịch bản kiểm thử ban đầu cho bản Web</t>
        </is>
      </c>
    </row>
    <row r="22" ht="22.05" customHeight="1" s="34">
      <c r="B22" s="4" t="inlineStr">
        <is>
          <t>v1.5</t>
        </is>
      </c>
      <c r="C22" s="4" t="inlineStr">
        <is>
          <t>25/10/2026</t>
        </is>
      </c>
      <c r="D22" s="4" t="inlineStr">
        <is>
          <t>Tác giả đồ án</t>
        </is>
      </c>
      <c r="E22" s="30" t="inlineStr">
        <is>
          <t>Bổ sung kịch bản kiểm thử Realtime SignalR, Đồng hồ rụng kim và AI</t>
        </is>
      </c>
    </row>
    <row r="23" ht="22.05" customHeight="1" s="34">
      <c r="B23" s="4" t="inlineStr">
        <is>
          <t>v2.0</t>
        </is>
      </c>
      <c r="C23" s="4" t="inlineStr">
        <is>
          <t>27/10/2026</t>
        </is>
      </c>
      <c r="D23" s="4" t="inlineStr">
        <is>
          <t>Tác giả đồ án</t>
        </is>
      </c>
      <c r="E23" s="30" t="inlineStr">
        <is>
          <t>Hoàn thiện đầy đủ 12 sheet kiểm thử chi tiết Web &amp; Mobile, phân hệ Admin, để trống kết quả để tester tiến hành thử nghiệm độc lập</t>
        </is>
      </c>
    </row>
    <row r="25">
      <c r="B25" t="inlineStr">
        <is>
          <t>3. THÔNG TIN ĐỒNG BỘ MÃ NGUỒN TỪ CLOUD (GIT SYNC INFO)</t>
        </is>
      </c>
    </row>
    <row r="26">
      <c r="B26" t="inlineStr">
        <is>
          <t>Kho mã nguồn Cloud (Git Remote):</t>
        </is>
      </c>
      <c r="C26" t="inlineStr">
        <is>
          <t>https://github.com/thequang120605-byte/C-T-ng-.git</t>
        </is>
      </c>
    </row>
    <row r="27">
      <c r="B27" t="inlineStr">
        <is>
          <t>Nhánh kiểm thử (Target Branch):</t>
        </is>
      </c>
      <c r="C27" t="inlineStr">
        <is>
          <t>main (Origin Main)</t>
        </is>
      </c>
    </row>
    <row r="28">
      <c r="B28" t="inlineStr">
        <is>
          <t>Mã Commit mới nhất (Commit Hash):</t>
        </is>
      </c>
      <c r="C28" t="inlineStr">
        <is>
          <t>52885c7ecfcd53c2cecc6c73cba7f4231e996efc</t>
        </is>
      </c>
    </row>
    <row r="29">
      <c r="B29" t="inlineStr">
        <is>
          <t>Thông điệp Commit (Commit Message):</t>
        </is>
      </c>
      <c r="C29" t="inlineStr">
        <is>
          <t>fix(master-game): remove unused exception variable warning</t>
        </is>
      </c>
    </row>
    <row r="30">
      <c r="B30" t="inlineStr">
        <is>
          <t>Tác giả commit (Author):</t>
        </is>
      </c>
      <c r="C30" t="inlineStr">
        <is>
          <t>nguyentrongnguyen3004-eng &lt;nguyentrongnguyen3004@gmail.com&gt;</t>
        </is>
      </c>
    </row>
    <row r="31">
      <c r="B31" t="inlineStr">
        <is>
          <t>Thời gian commit trên Cloud:</t>
        </is>
      </c>
      <c r="C31" t="inlineStr">
        <is>
          <t>Mon Oct 26 12:25:07 2026 +0700</t>
        </is>
      </c>
    </row>
    <row r="32">
      <c r="B32" t="inlineStr">
        <is>
          <t>Thời gian Pull / Đồng bộ kiểm thử:</t>
        </is>
      </c>
      <c r="C32" t="inlineStr">
        <is>
          <t>27/10/2026 21:46:44 (UTC+7)</t>
        </is>
      </c>
    </row>
    <row r="33">
      <c r="B33" t="inlineStr">
        <is>
          <t>Trạng thái mã nguồn:</t>
        </is>
      </c>
      <c r="C33" t="inlineStr">
        <is>
          <t>Đã đồng bộ mới nhất từ origin/main trên Cloud (Clean Working Tree)</t>
        </is>
      </c>
    </row>
  </sheetData>
  <mergeCells count="14">
    <mergeCell ref="C16:E16"/>
    <mergeCell ref="B18:E18"/>
    <mergeCell ref="C14:E14"/>
    <mergeCell ref="C11:E11"/>
    <mergeCell ref="B4:E4"/>
    <mergeCell ref="C13:E13"/>
    <mergeCell ref="B6:E6"/>
    <mergeCell ref="C8:E8"/>
    <mergeCell ref="C9:E9"/>
    <mergeCell ref="B3:E3"/>
    <mergeCell ref="B2:E2"/>
    <mergeCell ref="C15:E15"/>
    <mergeCell ref="C12:E12"/>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19"/>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mã nguồn nhánh origin/main (Pull lúc: 27/10/2026 21:46:44 (UTC+7) | Commit: 52885c7ecf)</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f>E19</f>
        <v/>
      </c>
      <c r="D6" s="46" t="n"/>
      <c r="E6" s="49" t="n">
        <v>120</v>
      </c>
      <c r="F6" s="50" t="n"/>
      <c r="G6" s="59" t="n">
        <v>17</v>
      </c>
      <c r="H6" s="60" t="n"/>
      <c r="I6" s="47">
        <f>J19</f>
        <v/>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f>COUNTA('04_TC_Auth_Profile'!B5:B21)</f>
        <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f>COUNTA('05_TC_Chess_Rules'!B5:B30)</f>
        <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f>COUNTA('06_TC_Game_Play'!B5:B22)</f>
        <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f>COUNTA('07_TC_Online_SignalR'!B5:B24)</f>
        <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f>COUNTA('08_TC_Puzzle_Cothe'!B5:B20)</f>
        <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f>COUNTA('09_TC_Course_Master'!B5:B20)</f>
        <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f>COUNTA('10_TC_Admin_System'!B5:B16)</f>
        <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f>COUNTA('11_TC_Mobile_Specific'!B5:B16)</f>
        <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f>SUM(E11:E18)</f>
        <v/>
      </c>
      <c r="F19" s="42" t="n">
        <v>120</v>
      </c>
      <c r="G19" s="42" t="n">
        <v>17</v>
      </c>
      <c r="H19" s="42">
        <f>SUM(H11:H18)</f>
        <v/>
      </c>
      <c r="I19" s="42">
        <f>SUM(I11:I18)</f>
        <v/>
      </c>
      <c r="J19" s="8">
        <f>IF(E19&gt;0, F19/E19, 0)</f>
        <v/>
      </c>
    </row>
  </sheetData>
  <mergeCells count="12">
    <mergeCell ref="B19:D19"/>
    <mergeCell ref="B3:J3"/>
    <mergeCell ref="C6:D6"/>
    <mergeCell ref="I6:J6"/>
    <mergeCell ref="E6:F6"/>
    <mergeCell ref="C5:D5"/>
    <mergeCell ref="G5:H5"/>
    <mergeCell ref="E5:F5"/>
    <mergeCell ref="I5:J5"/>
    <mergeCell ref="B8:J8"/>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HTTP 200 OK, tài khoản vẫn được tạo với email rác trong CSDL</t>
        </is>
      </c>
      <c r="J5" s="29" t="inlineStr">
        <is>
          <t>Fail</t>
        </is>
      </c>
      <c r="K5" s="15" t="inlineStr">
        <is>
          <t>High</t>
        </is>
      </c>
      <c r="L5" s="13" t="inlineStr">
        <is>
          <t>BUG_002</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HTTP 200 OK, server lưu nguyên vẹn payload XSS vào bảng Users trong CSDL SQLite</t>
        </is>
      </c>
      <c r="J6" s="63" t="inlineStr">
        <is>
          <t>Fail</t>
        </is>
      </c>
      <c r="K6" s="15" t="inlineStr">
        <is>
          <t>High</t>
        </is>
      </c>
      <c r="L6" s="13" t="inlineStr">
        <is>
          <t>BUG_016</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28"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HTTP 200 OK, hệ thống tạo tài khoản thành công với mật khẩu 3 ký tự</t>
        </is>
      </c>
      <c r="J8" s="29" t="inlineStr">
        <is>
          <t>Fail</t>
        </is>
      </c>
      <c r="K8" s="15" t="inlineStr">
        <is>
          <t>High</t>
        </is>
      </c>
      <c r="L8" s="13" t="inlineStr">
        <is>
          <t>BUG_001</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28"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28"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(eyJVc2VySWQiOjY...), hiển thị Elo 1200.</t>
        </is>
      </c>
      <c r="J11" s="28"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28"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28"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HTTP 200/400 lặp lại không giới hạn, không có độ trễ hay CAPTCHA ngăn chặn dò mật khẩu</t>
        </is>
      </c>
      <c r="J14" s="63" t="inlineStr">
        <is>
          <t>Fail</t>
        </is>
      </c>
      <c r="K14" s="15" t="inlineStr">
        <is>
          <t>High</t>
        </is>
      </c>
      <c r="L14" s="13" t="inlineStr">
        <is>
          <t>BUG_010</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TempData["OtpMessage"] và giao diện in thẳng "MÃ OTP CỦA BẠN LÀ: xxxxxx", cho phép chiếm quyền tài khoản</t>
        </is>
      </c>
      <c r="J15" s="63" t="inlineStr">
        <is>
          <t>Fail</t>
        </is>
      </c>
      <c r="K15" s="16" t="inlineStr">
        <is>
          <t>Medium</t>
        </is>
      </c>
      <c r="L15" s="13" t="inlineStr">
        <is>
          <t>BUG_008</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28"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28"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28"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28"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HTTP 200 OK, cộng điểm PuzzleScore vô hạn lần và lưu trạng thái tạm trong RAM</t>
        </is>
      </c>
      <c r="J20" s="63" t="inlineStr">
        <is>
          <t>Fail</t>
        </is>
      </c>
      <c r="K20" s="16" t="inlineStr">
        <is>
          <t>Medium</t>
        </is>
      </c>
      <c r="L20" s="13" t="inlineStr">
        <is>
          <t>BUG_009</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28"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28"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28"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28"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28"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28"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28"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28"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28"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28"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28"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28"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28"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28"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28"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28"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28"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28"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28"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28"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28"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28"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28"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28"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28"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28"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28"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HTTP 201 Created, server tạo thành công ván đấu với thời gian âm gây lỗi đồng hồ đếm ngược</t>
        </is>
      </c>
      <c r="J5" s="63" t="inlineStr">
        <is>
          <t>Fail</t>
        </is>
      </c>
      <c r="K5" s="24" t="inlineStr">
        <is>
          <t>High</t>
        </is>
      </c>
      <c r="L5" s="38" t="inlineStr">
        <is>
          <t>BUG_017</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28"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28"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28"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28"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28"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28"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28"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28"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28"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28"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28"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HTTP 201 Created, server âm thầm gán initialFen = null và trả về bàn cờ mặc định</t>
        </is>
      </c>
      <c r="J17" s="63" t="inlineStr">
        <is>
          <t>Fail</t>
        </is>
      </c>
      <c r="K17" s="24" t="inlineStr">
        <is>
          <t>High</t>
        </is>
      </c>
      <c r="L17" s="38" t="inlineStr">
        <is>
          <t>BUG_011</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28"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28"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28"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28"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28"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28"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28"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28"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28"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28"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28"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28"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28"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28"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28"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28"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28"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28"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28"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HTTP 200 OK, server tiếp tục nhận nước cờ và đổi trạng thái về InProgress</t>
        </is>
      </c>
      <c r="J19" s="29" t="inlineStr">
        <is>
          <t>Fail</t>
        </is>
      </c>
      <c r="K19" s="24" t="inlineStr">
        <is>
          <t>High</t>
        </is>
      </c>
      <c r="L19" s="38" t="inlineStr">
        <is>
          <t>BUG_004</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HTTP 200 OK, server tự động tạo ngay ván mới và ép cả 2 người chơi vào trận</t>
        </is>
      </c>
      <c r="J20" s="63" t="inlineStr">
        <is>
          <t>Fail</t>
        </is>
      </c>
      <c r="K20" s="25" t="inlineStr">
        <is>
          <t>Medium</t>
        </is>
      </c>
      <c r="L20" s="38" t="inlineStr">
        <is>
          <t>BUG_012</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28"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28"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28"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28"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28"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28"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28"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28"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28"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28"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28"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28"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28"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28"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28"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28"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28"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28"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28"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28"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28"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28"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28"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28"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HTTP 200 OK, trả về { isGuest: true, progress: {...} } trước khi kiểm tra tính tồn tại của bài học</t>
        </is>
      </c>
      <c r="J10" s="63" t="inlineStr">
        <is>
          <t>Fail</t>
        </is>
      </c>
      <c r="K10" s="24" t="inlineStr">
        <is>
          <t>High</t>
        </is>
      </c>
      <c r="L10" s="38" t="inlineStr">
        <is>
          <t>BUG_013</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28"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HTTP 200 OK, máy chủ lưu nguyên vẹn bestQuizScore = 999999</t>
        </is>
      </c>
      <c r="J12" s="29" t="inlineStr">
        <is>
          <t>Fail</t>
        </is>
      </c>
      <c r="K12" s="24" t="inlineStr">
        <is>
          <t>High</t>
        </is>
      </c>
      <c r="L12" s="38" t="inlineStr">
        <is>
          <t>BUG_006</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HTTP 200 OK, hệ thống vẫn kết xuất chứng chỉ tốt nghiệp hoàn chỉnh</t>
        </is>
      </c>
      <c r="J13" s="29" t="inlineStr">
        <is>
          <t>Fail</t>
        </is>
      </c>
      <c r="K13" s="25" t="inlineStr">
        <is>
          <t>Medium</t>
        </is>
      </c>
      <c r="L13" s="38" t="inlineStr">
        <is>
          <t>BUG_005</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28"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28"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28"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28"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28"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28"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28"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HTTP 302 Found, chuyển hướng (Redirect) về /Auth/Login?ReturnUrl=%2FAdmin</t>
        </is>
      </c>
      <c r="J6" s="29" t="inlineStr">
        <is>
          <t>Fail</t>
        </is>
      </c>
      <c r="K6" s="24" t="inlineStr">
        <is>
          <t>High</t>
        </is>
      </c>
      <c r="L6" s="38" t="inlineStr">
        <is>
          <t>BUG_003</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28"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28"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Không có trường IsLocked trong model User, AdminController không có hàm khóa, người dùng vẫn đăng nhập bình thường</t>
        </is>
      </c>
      <c r="J9" s="63" t="inlineStr">
        <is>
          <t>Fail</t>
        </is>
      </c>
      <c r="K9" s="24" t="inlineStr">
        <is>
          <t>High</t>
        </is>
      </c>
      <c r="L9" s="38" t="inlineStr">
        <is>
          <t>BUG_014</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28"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28"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HTTP 302/200, hệ thống lưu thẳng chuỗi FEN rác vào CSDL gây lỗi crash khi người chơi mở bài</t>
        </is>
      </c>
      <c r="J12" s="63" t="inlineStr">
        <is>
          <t>Fail</t>
        </is>
      </c>
      <c r="K12" s="24" t="inlineStr">
        <is>
          <t>High</t>
        </is>
      </c>
      <c r="L12" s="38" t="inlineStr">
        <is>
          <t>BUG_015</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HTTP 200 OK (hoặc redirect thành công) gây sai lệch trạng thái CMS</t>
        </is>
      </c>
      <c r="J13" s="29" t="inlineStr">
        <is>
          <t>Fail</t>
        </is>
      </c>
      <c r="K13" s="25" t="inlineStr">
        <is>
          <t>Medium</t>
        </is>
      </c>
      <c r="L13" s="38" t="inlineStr">
        <is>
          <t>BUG_007</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28"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28"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28"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28"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28"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28"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28"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28"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28"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28"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28"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28"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28"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28"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28"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29" t="inlineStr">
        <is>
          <t>Open</t>
        </is>
      </c>
      <c r="M5" s="69" t="inlineStr">
        <is>
          <t>•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29" t="inlineStr">
        <is>
          <t>Open</t>
        </is>
      </c>
      <c r="M6" s="69" t="inlineStr">
        <is>
          <t>•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29" t="inlineStr">
        <is>
          <t>Open</t>
        </is>
      </c>
      <c r="M7" s="69" t="inlineStr">
        <is>
          <t>•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29" t="inlineStr">
        <is>
          <t>Open</t>
        </is>
      </c>
      <c r="M8" s="69" t="inlineStr">
        <is>
          <t>•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29" t="inlineStr">
        <is>
          <t>Open</t>
        </is>
      </c>
      <c r="M9" s="69" t="inlineStr">
        <is>
          <t>•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29" t="inlineStr">
        <is>
          <t>Open</t>
        </is>
      </c>
      <c r="M10" s="69" t="inlineStr">
        <is>
          <t>•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29" t="inlineStr">
        <is>
          <t>Open</t>
        </is>
      </c>
      <c r="M11" s="69" t="inlineStr">
        <is>
          <t>•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67" t="inlineStr">
        <is>
          <t>Open</t>
        </is>
      </c>
      <c r="M12" s="69" t="inlineStr">
        <is>
          <t>•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67" t="inlineStr">
        <is>
          <t>Open</t>
        </is>
      </c>
      <c r="M13" s="69" t="inlineStr">
        <is>
          <t>•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67" t="inlineStr">
        <is>
          <t>Open</t>
        </is>
      </c>
      <c r="M14" s="69" t="inlineStr">
        <is>
          <t>•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67" t="inlineStr">
        <is>
          <t>Open</t>
        </is>
      </c>
      <c r="M15" s="69" t="inlineStr">
        <is>
          <t>•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67" t="inlineStr">
        <is>
          <t>Open</t>
        </is>
      </c>
      <c r="M16" s="69" t="inlineStr">
        <is>
          <t>•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67" t="inlineStr">
        <is>
          <t>Open</t>
        </is>
      </c>
      <c r="M17" s="69" t="inlineStr">
        <is>
          <t>•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67" t="inlineStr">
        <is>
          <t>Open</t>
        </is>
      </c>
      <c r="M18" s="69" t="inlineStr">
        <is>
          <t>•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67" t="inlineStr">
        <is>
          <t>Open</t>
        </is>
      </c>
      <c r="M19" s="69" t="inlineStr">
        <is>
          <t>•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67" t="inlineStr">
        <is>
          <t>Open</t>
        </is>
      </c>
      <c r="M20" s="69" t="inlineStr">
        <is>
          <t>•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67" t="inlineStr">
        <is>
          <t>Open</t>
        </is>
      </c>
      <c r="M21" s="69" t="inlineStr">
        <is>
          <t>•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2026-10-27T17:45:26Z</dcterms:modified>
  <cp:lastModifiedBy>Chu Văn Quốc Trung</cp:lastModifiedBy>
</cp:coreProperties>
</file>