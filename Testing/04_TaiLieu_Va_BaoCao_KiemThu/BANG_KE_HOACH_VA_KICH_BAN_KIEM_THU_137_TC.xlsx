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7" activeTab="11" autoFilterDateGrouping="1"/>
  </bookViews>
  <sheets>
    <sheet xmlns:r="http://schemas.openxmlformats.org/officeDocument/2006/relationships" name="01_Cover_Info" sheetId="1" state="visible" r:id="rId1"/>
    <sheet xmlns:r="http://schemas.openxmlformats.org/officeDocument/2006/relationships" name="02_Test_Strategy" sheetId="2" state="visible" r:id="rId2"/>
    <sheet xmlns:r="http://schemas.openxmlformats.org/officeDocument/2006/relationships" name="03_Test_Summary" sheetId="3" state="visible" r:id="rId3"/>
    <sheet xmlns:r="http://schemas.openxmlformats.org/officeDocument/2006/relationships" name="04_TC_Auth_Profile" sheetId="4" state="visible" r:id="rId4"/>
    <sheet xmlns:r="http://schemas.openxmlformats.org/officeDocument/2006/relationships" name="05_TC_Chess_Rules" sheetId="5" state="visible" r:id="rId5"/>
    <sheet xmlns:r="http://schemas.openxmlformats.org/officeDocument/2006/relationships" name="06_TC_Game_Play" sheetId="6" state="visible" r:id="rId6"/>
    <sheet xmlns:r="http://schemas.openxmlformats.org/officeDocument/2006/relationships" name="07_TC_Online_SignalR" sheetId="7" state="visible" r:id="rId7"/>
    <sheet xmlns:r="http://schemas.openxmlformats.org/officeDocument/2006/relationships" name="08_TC_Puzzle_Cothe" sheetId="8" state="visible" r:id="rId8"/>
    <sheet xmlns:r="http://schemas.openxmlformats.org/officeDocument/2006/relationships" name="09_TC_Course_Master" sheetId="9" state="visible" r:id="rId9"/>
    <sheet xmlns:r="http://schemas.openxmlformats.org/officeDocument/2006/relationships" name="10_TC_Admin_System" sheetId="10" state="visible" r:id="rId10"/>
    <sheet xmlns:r="http://schemas.openxmlformats.org/officeDocument/2006/relationships" name="11_TC_Mobile_Specific" sheetId="11" state="visible" r:id="rId11"/>
    <sheet xmlns:r="http://schemas.openxmlformats.org/officeDocument/2006/relationships" name="12_Defect_Log" sheetId="12" state="visible" r:id="rId12"/>
    <sheet xmlns:r="http://schemas.openxmlformats.org/officeDocument/2006/relationships" name="13_Retest_Round2" sheetId="13" state="visible" r:id="rId13"/>
  </sheets>
  <definedNames/>
  <calcPr calcId="191029" fullCalcOnLoad="1"/>
</workbook>
</file>

<file path=xl/styles.xml><?xml version="1.0" encoding="utf-8"?>
<styleSheet xmlns="http://schemas.openxmlformats.org/spreadsheetml/2006/main">
  <numFmts count="1">
    <numFmt numFmtId="164" formatCode="0.0%"/>
  </numFmts>
  <fonts count="56">
    <font>
      <name val="Calibri"/>
      <family val="2"/>
      <color theme="1"/>
      <sz val="11"/>
      <scheme val="minor"/>
    </font>
    <font>
      <name val="Segoe UI"/>
      <family val="2"/>
      <b val="1"/>
      <color rgb="FF0F172A"/>
      <sz val="18"/>
    </font>
    <font>
      <name val="Segoe UI"/>
      <family val="2"/>
      <b val="1"/>
      <color rgb="FFB45309"/>
      <sz val="13"/>
    </font>
    <font>
      <name val="Segoe UI"/>
      <family val="2"/>
      <i val="1"/>
      <color rgb="FF475569"/>
      <sz val="10.5"/>
    </font>
    <font>
      <name val="Segoe UI"/>
      <family val="2"/>
      <b val="1"/>
      <color rgb="FFFFFFFF"/>
      <sz val="11"/>
    </font>
    <font>
      <name val="Segoe UI"/>
      <family val="2"/>
      <b val="1"/>
      <color theme="1"/>
      <sz val="10"/>
    </font>
    <font>
      <name val="Segoe UI"/>
      <family val="2"/>
      <color theme="1"/>
      <sz val="10"/>
    </font>
    <font>
      <name val="Segoe UI"/>
      <family val="2"/>
      <b val="1"/>
      <color rgb="FFFFFFFF"/>
      <sz val="10"/>
    </font>
    <font>
      <name val="Segoe UI"/>
      <family val="2"/>
      <b val="1"/>
      <color rgb="FF1E293B"/>
      <sz val="10"/>
    </font>
    <font>
      <name val="Segoe UI"/>
      <family val="2"/>
      <b val="1"/>
      <color rgb="FF065F46"/>
      <sz val="10"/>
    </font>
    <font>
      <name val="Segoe UI"/>
      <family val="2"/>
      <b val="1"/>
      <color rgb="FF991B1B"/>
      <sz val="10"/>
    </font>
    <font>
      <name val="Segoe UI"/>
      <family val="2"/>
      <b val="1"/>
      <color rgb="FF1E40AF"/>
      <sz val="10"/>
    </font>
    <font>
      <name val="Segoe UI"/>
      <family val="2"/>
      <b val="1"/>
      <color rgb="FF1E293B"/>
      <sz val="20"/>
    </font>
    <font>
      <name val="Segoe UI"/>
      <family val="2"/>
      <b val="1"/>
      <color rgb="FF059669"/>
      <sz val="20"/>
    </font>
    <font>
      <name val="Segoe UI"/>
      <family val="2"/>
      <b val="1"/>
      <color rgb="FFDC2626"/>
      <sz val="20"/>
    </font>
    <font>
      <name val="Segoe UI"/>
      <family val="2"/>
      <b val="1"/>
      <color rgb="FF2563EB"/>
      <sz val="20"/>
    </font>
    <font>
      <name val="Segoe UI"/>
      <family val="2"/>
      <b val="1"/>
      <color rgb="FFFFFFFF"/>
      <sz val="10.5"/>
    </font>
    <font>
      <name val="Segoe UI"/>
      <family val="2"/>
      <b val="1"/>
      <color rgb="FF0F172A"/>
      <sz val="14"/>
    </font>
    <font>
      <name val="Segoe UI"/>
      <family val="2"/>
      <i val="1"/>
      <color rgb="FF64748B"/>
      <sz val="10"/>
    </font>
    <font>
      <name val="Segoe UI"/>
      <family val="2"/>
      <b val="1"/>
      <color rgb="FFFFFFFF"/>
      <sz val="9.5"/>
    </font>
    <font>
      <name val="Segoe UI"/>
      <family val="2"/>
      <b val="1"/>
      <color rgb="FF78350F"/>
      <sz val="9.5"/>
    </font>
    <font>
      <name val="Segoe UI"/>
      <family val="2"/>
      <color theme="1"/>
      <sz val="9"/>
    </font>
    <font>
      <name val="Segoe UI"/>
      <family val="2"/>
      <b val="1"/>
      <color theme="1"/>
      <sz val="9"/>
    </font>
    <font>
      <name val="Segoe UI"/>
      <family val="2"/>
      <b val="1"/>
      <color rgb="FFDC2626"/>
      <sz val="9"/>
    </font>
    <font>
      <name val="Segoe UI"/>
      <family val="2"/>
      <b val="1"/>
      <color rgb="FFD97706"/>
      <sz val="9"/>
    </font>
    <font>
      <name val="Segoe UI"/>
      <family val="2"/>
      <b val="1"/>
      <color rgb="FF2563EB"/>
      <sz val="9"/>
    </font>
    <font>
      <name val="Times New Roman"/>
      <family val="1"/>
      <b val="1"/>
      <color rgb="FFFFFFFF"/>
      <sz val="11"/>
    </font>
    <font>
      <name val="Times New Roman"/>
      <family val="1"/>
      <color theme="1"/>
      <sz val="11"/>
    </font>
    <font>
      <name val="Times New Roman"/>
      <family val="1"/>
      <b val="1"/>
      <color theme="1"/>
      <sz val="11"/>
    </font>
    <font>
      <name val="Times New Roman"/>
      <family val="1"/>
      <b val="1"/>
      <color rgb="FF78350F"/>
      <sz val="11"/>
    </font>
    <font>
      <name val="Times New Roman"/>
      <family val="1"/>
      <b val="1"/>
      <color rgb="FFDC2626"/>
      <sz val="11"/>
    </font>
    <font>
      <name val="Times New Roman"/>
      <family val="1"/>
      <b val="1"/>
      <color rgb="FFD97706"/>
      <sz val="11"/>
    </font>
    <font>
      <name val="Segoe UI"/>
      <b val="1"/>
      <color rgb="FF274E13"/>
      <sz val="10"/>
    </font>
    <font>
      <name val="Segoe UI"/>
      <b val="1"/>
      <color rgb="FF990000"/>
      <sz val="10"/>
    </font>
    <font>
      <name val="Segoe UI"/>
      <b val="1"/>
      <color rgb="00990000"/>
      <sz val="10"/>
    </font>
    <font>
      <name val="Times New Roman"/>
      <b val="1"/>
      <color rgb="00FFFFFF"/>
      <sz val="11"/>
    </font>
    <font>
      <name val="Times New Roman"/>
      <color rgb="00000000"/>
      <sz val="10"/>
    </font>
    <font>
      <name val="Times New Roman"/>
      <b val="1"/>
      <sz val="11"/>
    </font>
    <font>
      <name val="Times New Roman"/>
      <sz val="11"/>
    </font>
    <font>
      <name val="Times New Roman"/>
      <b val="1"/>
      <color rgb="FF1B5E20"/>
      <sz val="11"/>
    </font>
    <font>
      <name val="Times New Roman"/>
      <b val="1"/>
      <color rgb="FF1E293B"/>
      <sz val="16"/>
    </font>
    <font>
      <name val="Times New Roman"/>
      <i val="1"/>
      <color rgb="FF475569"/>
      <sz val="11"/>
    </font>
    <font>
      <name val="Times New Roman"/>
      <b val="1"/>
      <color rgb="FF334155"/>
      <sz val="10"/>
    </font>
    <font>
      <name val="Times New Roman"/>
      <b val="1"/>
      <color rgb="FF1E293B"/>
      <sz val="18"/>
    </font>
    <font>
      <name val="Times New Roman"/>
      <b val="1"/>
      <color rgb="FF1B5E20"/>
      <sz val="18"/>
    </font>
    <font>
      <name val="Times New Roman"/>
      <b val="1"/>
      <color rgb="FF64748B"/>
      <sz val="18"/>
    </font>
    <font>
      <name val="Times New Roman"/>
      <b val="1"/>
      <color rgb="FF1B5E20"/>
      <sz val="14"/>
    </font>
    <font>
      <name val="Times New Roman"/>
      <b val="1"/>
      <color rgb="FFFFFFFF"/>
      <sz val="11"/>
    </font>
    <font>
      <name val="Times New Roman"/>
      <b val="1"/>
      <color rgb="FFB71C1C"/>
      <sz val="11"/>
    </font>
    <font>
      <name val="Segoe UI"/>
      <b val="1"/>
      <sz val="10"/>
    </font>
    <font>
      <name val="Segoe UI"/>
      <sz val="10"/>
    </font>
    <font>
      <name val="Segoe UI"/>
      <b val="1"/>
      <color rgb="FFFFFFFF"/>
      <sz val="11"/>
    </font>
    <font>
      <name val="Segoe UI"/>
      <b val="1"/>
      <color rgb="FFFFFFFF"/>
      <sz val="10"/>
    </font>
    <font>
      <name val="Segoe UI"/>
      <b val="1"/>
      <color rgb="FFB71C1C"/>
      <sz val="10"/>
    </font>
    <font>
      <name val="Segoe UI"/>
      <b val="1"/>
      <color rgb="FF1B5E20"/>
      <sz val="10"/>
    </font>
    <font>
      <name val="Segoe UI"/>
      <b val="1"/>
      <color rgb="00274E13"/>
      <sz val="10"/>
    </font>
  </fonts>
  <fills count="28">
    <fill>
      <patternFill/>
    </fill>
    <fill>
      <patternFill patternType="gray125"/>
    </fill>
    <fill>
      <patternFill patternType="solid">
        <fgColor rgb="FF1E293B"/>
        <bgColor indexed="64"/>
      </patternFill>
    </fill>
    <fill>
      <patternFill patternType="solid">
        <fgColor rgb="FF334155"/>
        <bgColor indexed="64"/>
      </patternFill>
    </fill>
    <fill>
      <patternFill patternType="solid">
        <fgColor rgb="FFE2E8F0"/>
        <bgColor indexed="64"/>
      </patternFill>
    </fill>
    <fill>
      <patternFill patternType="solid">
        <fgColor rgb="FFD1FAE5"/>
        <bgColor indexed="64"/>
      </patternFill>
    </fill>
    <fill>
      <patternFill patternType="solid">
        <fgColor rgb="FFFEE2E2"/>
        <bgColor indexed="64"/>
      </patternFill>
    </fill>
    <fill>
      <patternFill patternType="solid">
        <fgColor rgb="FFDBEAFE"/>
        <bgColor indexed="64"/>
      </patternFill>
    </fill>
    <fill>
      <patternFill patternType="solid">
        <fgColor rgb="FFF8FAFC"/>
        <bgColor indexed="64"/>
      </patternFill>
    </fill>
    <fill>
      <patternFill patternType="solid">
        <fgColor rgb="FFECFDF5"/>
        <bgColor indexed="64"/>
      </patternFill>
    </fill>
    <fill>
      <patternFill patternType="solid">
        <fgColor rgb="FFFEF2F2"/>
        <bgColor indexed="64"/>
      </patternFill>
    </fill>
    <fill>
      <patternFill patternType="solid">
        <fgColor rgb="FFEFF6FF"/>
        <bgColor indexed="64"/>
      </patternFill>
    </fill>
    <fill>
      <patternFill patternType="solid">
        <fgColor rgb="FFFDE68A"/>
        <bgColor indexed="64"/>
      </patternFill>
    </fill>
    <fill>
      <patternFill patternType="solid">
        <fgColor rgb="FFFEF3C7"/>
        <bgColor indexed="64"/>
      </patternFill>
    </fill>
    <fill>
      <patternFill patternType="solid">
        <fgColor rgb="FFD9EAD3"/>
        <bgColor rgb="FFD9EAD3"/>
      </patternFill>
    </fill>
    <fill>
      <patternFill patternType="solid">
        <fgColor rgb="FFF4CCCC"/>
        <bgColor rgb="FFF4CCCC"/>
      </patternFill>
    </fill>
    <fill>
      <patternFill patternType="solid">
        <fgColor rgb="00F4CCCC"/>
        <bgColor rgb="00F4CCCC"/>
      </patternFill>
    </fill>
    <fill>
      <patternFill patternType="solid">
        <fgColor rgb="001F497D"/>
        <bgColor rgb="001F497D"/>
      </patternFill>
    </fill>
    <fill>
      <patternFill patternType="solid">
        <fgColor rgb="FFE8F5E9"/>
        <bgColor rgb="FFE8F5E9"/>
      </patternFill>
    </fill>
    <fill>
      <patternFill patternType="solid">
        <fgColor rgb="FFF1F5F9"/>
        <bgColor rgb="FFF1F5F9"/>
      </patternFill>
    </fill>
    <fill>
      <patternFill patternType="solid">
        <fgColor rgb="FFF8FAFC"/>
        <bgColor rgb="FFF8FAFC"/>
      </patternFill>
    </fill>
    <fill>
      <patternFill patternType="solid">
        <fgColor rgb="FF1E293B"/>
        <bgColor rgb="FF1E293B"/>
      </patternFill>
    </fill>
    <fill>
      <patternFill patternType="solid">
        <fgColor rgb="FFFFEBEE"/>
        <bgColor rgb="FFFFEBEE"/>
      </patternFill>
    </fill>
    <fill>
      <patternFill patternType="solid">
        <fgColor rgb="FFFFFFFF"/>
        <bgColor rgb="FFFFFFFF"/>
      </patternFill>
    </fill>
    <fill>
      <patternFill patternType="solid">
        <fgColor rgb="FF334155"/>
        <bgColor rgb="FF334155"/>
      </patternFill>
    </fill>
    <fill>
      <patternFill patternType="solid">
        <fgColor rgb="FF0F172A"/>
        <bgColor rgb="FF0F172A"/>
      </patternFill>
    </fill>
    <fill>
      <patternFill patternType="solid">
        <fgColor rgb="FF1B5E20"/>
        <bgColor rgb="FF1B5E20"/>
      </patternFill>
    </fill>
    <fill>
      <patternFill patternType="solid">
        <fgColor rgb="00D9EAD3"/>
        <bgColor rgb="00D9EAD3"/>
      </patternFill>
    </fill>
  </fills>
  <borders count="63">
    <border>
      <left/>
      <right/>
      <top/>
      <bottom/>
      <diagonal/>
    </border>
    <border>
      <left style="thin">
        <color rgb="FFCBD5E1"/>
      </left>
      <right style="thin">
        <color rgb="FFCBD5E1"/>
      </right>
      <top style="thin">
        <color rgb="FFCBD5E1"/>
      </top>
      <bottom style="thin">
        <color rgb="FFCBD5E1"/>
      </bottom>
      <diagonal/>
    </border>
    <border>
      <left style="thin">
        <color rgb="FF64748B"/>
      </left>
      <right style="thin">
        <color rgb="FF64748B"/>
      </right>
      <top style="thin">
        <color rgb="FF64748B"/>
      </top>
      <bottom style="thin">
        <color rgb="FF64748B"/>
      </bottom>
      <diagonal/>
    </border>
    <border>
      <left style="thin">
        <color rgb="FF94A3B8"/>
      </left>
      <right style="thin">
        <color rgb="FF94A3B8"/>
      </right>
      <top style="thin">
        <color rgb="FF94A3B8"/>
      </top>
      <bottom style="thin">
        <color rgb="FF94A3B8"/>
      </bottom>
      <diagonal/>
    </border>
    <border>
      <left style="thin">
        <color rgb="FF059669"/>
      </left>
      <right style="thin">
        <color rgb="FF059669"/>
      </right>
      <top style="thin">
        <color rgb="FF059669"/>
      </top>
      <bottom style="thin">
        <color rgb="FF059669"/>
      </bottom>
      <diagonal/>
    </border>
    <border>
      <left style="thin">
        <color rgb="FFDC2626"/>
      </left>
      <right style="thin">
        <color rgb="FFDC2626"/>
      </right>
      <top style="thin">
        <color rgb="FFDC2626"/>
      </top>
      <bottom style="thin">
        <color rgb="FFDC2626"/>
      </bottom>
      <diagonal/>
    </border>
    <border>
      <left style="thin">
        <color rgb="FF2563EB"/>
      </left>
      <right style="thin">
        <color rgb="FF2563EB"/>
      </right>
      <top style="thin">
        <color rgb="FF2563EB"/>
      </top>
      <bottom style="thin">
        <color rgb="FF2563EB"/>
      </bottom>
      <diagonal/>
    </border>
    <border>
      <left style="medium">
        <color rgb="FF94A3B8"/>
      </left>
      <right style="medium">
        <color rgb="FF94A3B8"/>
      </right>
      <top style="medium">
        <color rgb="FF94A3B8"/>
      </top>
      <bottom style="medium">
        <color rgb="FF94A3B8"/>
      </bottom>
      <diagonal/>
    </border>
    <border>
      <left style="medium">
        <color rgb="FF059669"/>
      </left>
      <right style="medium">
        <color rgb="FF059669"/>
      </right>
      <top style="medium">
        <color rgb="FF059669"/>
      </top>
      <bottom style="medium">
        <color rgb="FF059669"/>
      </bottom>
      <diagonal/>
    </border>
    <border>
      <left style="medium">
        <color rgb="FFDC2626"/>
      </left>
      <right style="medium">
        <color rgb="FFDC2626"/>
      </right>
      <top style="medium">
        <color rgb="FFDC2626"/>
      </top>
      <bottom style="medium">
        <color rgb="FFDC2626"/>
      </bottom>
      <diagonal/>
    </border>
    <border>
      <left style="medium">
        <color rgb="FF2563EB"/>
      </left>
      <right style="medium">
        <color rgb="FF2563EB"/>
      </right>
      <top style="medium">
        <color rgb="FF2563EB"/>
      </top>
      <bottom style="medium">
        <color rgb="FF2563EB"/>
      </bottom>
      <diagonal/>
    </border>
    <border>
      <left style="thin">
        <color rgb="FF475569"/>
      </left>
      <right style="thin">
        <color rgb="FF475569"/>
      </right>
      <top style="thin">
        <color rgb="FF475569"/>
      </top>
      <bottom style="thin">
        <color rgb="FF475569"/>
      </bottom>
      <diagonal/>
    </border>
    <border>
      <left style="thin">
        <color rgb="FFD97706"/>
      </left>
      <right style="thin">
        <color rgb="FFD97706"/>
      </right>
      <top style="thin">
        <color rgb="FFD97706"/>
      </top>
      <bottom style="thin">
        <color rgb="FFD97706"/>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style="thin">
        <color rgb="FF64748B"/>
      </right>
      <top style="thin">
        <color rgb="FF64748B"/>
      </top>
      <bottom style="thin">
        <color rgb="FF64748B"/>
      </bottom>
      <diagonal/>
    </border>
    <border>
      <left/>
      <right/>
      <top style="thin">
        <color rgb="FF475569"/>
      </top>
      <bottom style="thin">
        <color rgb="FF475569"/>
      </bottom>
      <diagonal/>
    </border>
    <border>
      <left/>
      <right style="thin">
        <color rgb="FF475569"/>
      </right>
      <top style="thin">
        <color rgb="FF475569"/>
      </top>
      <bottom style="thin">
        <color rgb="FF475569"/>
      </bottom>
      <diagonal/>
    </border>
    <border>
      <left/>
      <right style="thin">
        <color rgb="FF94A3B8"/>
      </right>
      <top style="thin">
        <color rgb="FF94A3B8"/>
      </top>
      <bottom style="thin">
        <color rgb="FF94A3B8"/>
      </bottom>
      <diagonal/>
    </border>
    <border>
      <left/>
      <right style="medium">
        <color rgb="FF94A3B8"/>
      </right>
      <top style="medium">
        <color rgb="FF94A3B8"/>
      </top>
      <bottom style="medium">
        <color rgb="FF94A3B8"/>
      </bottom>
      <diagonal/>
    </border>
    <border>
      <left/>
      <right style="thin">
        <color rgb="FF059669"/>
      </right>
      <top style="thin">
        <color rgb="FF059669"/>
      </top>
      <bottom style="thin">
        <color rgb="FF059669"/>
      </bottom>
      <diagonal/>
    </border>
    <border>
      <left/>
      <right style="medium">
        <color rgb="FF059669"/>
      </right>
      <top style="medium">
        <color rgb="FF059669"/>
      </top>
      <bottom style="medium">
        <color rgb="FF059669"/>
      </bottom>
      <diagonal/>
    </border>
    <border>
      <left/>
      <right style="thin">
        <color rgb="FFDC2626"/>
      </right>
      <top style="thin">
        <color rgb="FFDC2626"/>
      </top>
      <bottom style="thin">
        <color rgb="FFDC2626"/>
      </bottom>
      <diagonal/>
    </border>
    <border>
      <left/>
      <right style="medium">
        <color rgb="FFDC2626"/>
      </right>
      <top style="medium">
        <color rgb="FFDC2626"/>
      </top>
      <bottom style="medium">
        <color rgb="FFDC2626"/>
      </bottom>
      <diagonal/>
    </border>
    <border>
      <left/>
      <right style="thin">
        <color rgb="FF2563EB"/>
      </right>
      <top style="thin">
        <color rgb="FF2563EB"/>
      </top>
      <bottom style="thin">
        <color rgb="FF2563EB"/>
      </bottom>
      <diagonal/>
    </border>
    <border>
      <left/>
      <right style="medium">
        <color rgb="FF2563EB"/>
      </right>
      <top style="medium">
        <color rgb="FF2563EB"/>
      </top>
      <bottom style="medium">
        <color rgb="FF2563EB"/>
      </bottom>
      <diagonal/>
    </border>
    <border>
      <left/>
      <right/>
      <top style="thin">
        <color rgb="FFCBD5E1"/>
      </top>
      <bottom/>
      <diagonal/>
    </border>
    <border>
      <left/>
      <right style="thin">
        <color rgb="FFCBD5E1"/>
      </right>
      <top style="thin">
        <color rgb="FFCBD5E1"/>
      </top>
      <bottom/>
      <diagonal/>
    </border>
    <border>
      <left/>
      <right/>
      <top style="thin">
        <color rgb="FF64748B"/>
      </top>
      <bottom/>
      <diagonal/>
    </border>
    <border>
      <left/>
      <right style="thin">
        <color rgb="FF64748B"/>
      </right>
      <top style="thin">
        <color rgb="FF64748B"/>
      </top>
      <bottom/>
      <diagonal/>
    </border>
    <border>
      <left/>
      <right/>
      <top style="thin">
        <color rgb="FF475569"/>
      </top>
      <bottom/>
      <diagonal/>
    </border>
    <border>
      <left/>
      <right style="thin">
        <color rgb="FF475569"/>
      </right>
      <top style="thin">
        <color rgb="FF475569"/>
      </top>
      <bottom/>
      <diagonal/>
    </border>
    <border>
      <left/>
      <right/>
      <top style="medium">
        <color rgb="FF94A3B8"/>
      </top>
      <bottom/>
      <diagonal/>
    </border>
    <border>
      <left/>
      <right style="medium">
        <color rgb="FF94A3B8"/>
      </right>
      <top style="medium">
        <color rgb="FF94A3B8"/>
      </top>
      <bottom/>
      <diagonal/>
    </border>
    <border>
      <left/>
      <right/>
      <top style="medium">
        <color rgb="FF2563EB"/>
      </top>
      <bottom/>
      <diagonal/>
    </border>
    <border>
      <left/>
      <right style="medium">
        <color rgb="FF2563EB"/>
      </right>
      <top style="medium">
        <color rgb="FF2563EB"/>
      </top>
      <bottom/>
      <diagonal/>
    </border>
    <border>
      <left/>
      <right/>
      <top style="medium">
        <color rgb="FF059669"/>
      </top>
      <bottom/>
      <diagonal/>
    </border>
    <border>
      <left/>
      <right style="medium">
        <color rgb="FF059669"/>
      </right>
      <top style="medium">
        <color rgb="FF059669"/>
      </top>
      <bottom/>
      <diagonal/>
    </border>
    <border>
      <left/>
      <right/>
      <top style="thin">
        <color rgb="FF94A3B8"/>
      </top>
      <bottom/>
      <diagonal/>
    </border>
    <border>
      <left/>
      <right style="thin">
        <color rgb="FF94A3B8"/>
      </right>
      <top style="thin">
        <color rgb="FF94A3B8"/>
      </top>
      <bottom/>
      <diagonal/>
    </border>
    <border>
      <left/>
      <right/>
      <top style="thin">
        <color rgb="FFDC2626"/>
      </top>
      <bottom/>
      <diagonal/>
    </border>
    <border>
      <left/>
      <right style="thin">
        <color rgb="FFDC2626"/>
      </right>
      <top style="thin">
        <color rgb="FFDC2626"/>
      </top>
      <bottom/>
      <diagonal/>
    </border>
    <border>
      <left/>
      <right/>
      <top style="thin">
        <color rgb="FF059669"/>
      </top>
      <bottom/>
      <diagonal/>
    </border>
    <border>
      <left/>
      <right style="thin">
        <color rgb="FF059669"/>
      </right>
      <top style="thin">
        <color rgb="FF059669"/>
      </top>
      <bottom/>
      <diagonal/>
    </border>
    <border>
      <left/>
      <right/>
      <top style="thin">
        <color rgb="FF2563EB"/>
      </top>
      <bottom/>
      <diagonal/>
    </border>
    <border>
      <left/>
      <right style="thin">
        <color rgb="FF2563EB"/>
      </right>
      <top style="thin">
        <color rgb="FF2563EB"/>
      </top>
      <bottom/>
      <diagonal/>
    </border>
    <border>
      <left/>
      <right/>
      <top style="medium">
        <color rgb="FFDC2626"/>
      </top>
      <bottom/>
      <diagonal/>
    </border>
    <border>
      <left/>
      <right style="medium">
        <color rgb="FFDC2626"/>
      </right>
      <top style="medium">
        <color rgb="FFDC2626"/>
      </top>
      <bottom/>
      <diagonal/>
    </border>
    <border>
      <left style="thin">
        <color rgb="00D9D9D9"/>
      </left>
      <right style="thin">
        <color rgb="00D9D9D9"/>
      </right>
      <top style="thin">
        <color rgb="00D9D9D9"/>
      </top>
      <bottom style="thin">
        <color rgb="00D9D9D9"/>
      </bottom>
    </border>
    <border>
      <left style="thin">
        <color rgb="FFD1D5DB"/>
      </left>
      <right style="thin">
        <color rgb="FFD1D5DB"/>
      </right>
      <top style="thin">
        <color rgb="FFD1D5DB"/>
      </top>
      <bottom style="thin">
        <color rgb="FFD1D5DB"/>
      </bottom>
    </border>
    <border>
      <left style="thin">
        <color rgb="FFE2E8F0"/>
      </left>
      <right style="thin">
        <color rgb="FFE2E8F0"/>
      </right>
      <top style="thin">
        <color rgb="FFE2E8F0"/>
      </top>
      <bottom style="thin">
        <color rgb="FFE2E8F0"/>
      </bottom>
    </border>
    <border>
      <left/>
      <right/>
      <top style="thin">
        <color rgb="FFD1D5DB"/>
      </top>
      <bottom/>
      <diagonal/>
    </border>
    <border>
      <left/>
      <right style="thin">
        <color rgb="FFD1D5DB"/>
      </right>
      <top style="thin">
        <color rgb="FFD1D5DB"/>
      </top>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border>
      <left/>
      <right/>
      <top style="thin">
        <color rgb="FF64748B"/>
      </top>
      <bottom style="thin">
        <color rgb="FF64748B"/>
      </bottom>
      <diagonal/>
    </border>
    <border>
      <right/>
      <bottom/>
    </border>
  </borders>
  <cellStyleXfs count="1">
    <xf numFmtId="0" fontId="0" fillId="0" borderId="0"/>
  </cellStyleXfs>
  <cellXfs count="135">
    <xf numFmtId="0" fontId="0" fillId="0" borderId="0" pivotButton="0" quotePrefix="0" xfId="0"/>
    <xf numFmtId="0" fontId="5" fillId="0" borderId="1" applyAlignment="1" pivotButton="0" quotePrefix="0" xfId="0">
      <alignment horizontal="left" vertical="center"/>
    </xf>
    <xf numFmtId="0" fontId="6" fillId="0" borderId="1" applyAlignment="1" pivotButton="0" quotePrefix="0" xfId="0">
      <alignment horizontal="left" vertical="center" wrapText="1"/>
    </xf>
    <xf numFmtId="0" fontId="7" fillId="3" borderId="2" applyAlignment="1" pivotButton="0" quotePrefix="0" xfId="0">
      <alignment horizontal="center"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0" fontId="16" fillId="2" borderId="11" applyAlignment="1" pivotButton="0" quotePrefix="0" xfId="0">
      <alignment horizontal="center" vertical="center"/>
    </xf>
    <xf numFmtId="164" fontId="16" fillId="2" borderId="11" applyAlignment="1" pivotButton="0" quotePrefix="0" xfId="0">
      <alignment horizontal="center" vertical="center"/>
    </xf>
    <xf numFmtId="0" fontId="19" fillId="2" borderId="11" applyAlignment="1" pivotButton="0" quotePrefix="0" xfId="0">
      <alignment horizontal="center" vertical="center" wrapText="1"/>
    </xf>
    <xf numFmtId="0" fontId="20" fillId="12" borderId="12" applyAlignment="1" pivotButton="0" quotePrefix="0" xfId="0">
      <alignment horizontal="center" vertical="center" wrapText="1"/>
    </xf>
    <xf numFmtId="0" fontId="21" fillId="0" borderId="1" applyAlignment="1" pivotButton="0" quotePrefix="0" xfId="0">
      <alignment horizontal="center" vertical="center"/>
    </xf>
    <xf numFmtId="0" fontId="22" fillId="0" borderId="1" applyAlignment="1" pivotButton="0" quotePrefix="0" xfId="0">
      <alignment horizontal="left" vertical="center"/>
    </xf>
    <xf numFmtId="0" fontId="21" fillId="0" borderId="1" applyAlignment="1" pivotButton="0" quotePrefix="0" xfId="0">
      <alignment horizontal="left" vertical="center" wrapText="1"/>
    </xf>
    <xf numFmtId="0" fontId="21" fillId="8" borderId="1" applyAlignment="1" pivotButton="0" quotePrefix="0" xfId="0">
      <alignment horizontal="left" vertical="center" wrapText="1"/>
    </xf>
    <xf numFmtId="0" fontId="23" fillId="6" borderId="1" applyAlignment="1" pivotButton="0" quotePrefix="0" xfId="0">
      <alignment horizontal="center" vertical="center"/>
    </xf>
    <xf numFmtId="0" fontId="24" fillId="13" borderId="1" applyAlignment="1" pivotButton="0" quotePrefix="0" xfId="0">
      <alignment horizontal="center" vertical="center"/>
    </xf>
    <xf numFmtId="0" fontId="25" fillId="11" borderId="1" applyAlignment="1" pivotButton="0" quotePrefix="0" xfId="0">
      <alignment horizontal="center" vertical="center"/>
    </xf>
    <xf numFmtId="0" fontId="26" fillId="2" borderId="11" applyAlignment="1" pivotButton="0" quotePrefix="0" xfId="0">
      <alignment horizontal="center" vertical="center" wrapText="1"/>
    </xf>
    <xf numFmtId="0" fontId="27" fillId="0" borderId="1" applyAlignment="1" pivotButton="0" quotePrefix="0" xfId="0">
      <alignment horizontal="center" vertical="center"/>
    </xf>
    <xf numFmtId="0" fontId="28" fillId="0" borderId="1" applyAlignment="1" pivotButton="0" quotePrefix="0" xfId="0">
      <alignment horizontal="left" vertical="center"/>
    </xf>
    <xf numFmtId="0" fontId="27" fillId="0" borderId="1" applyAlignment="1" pivotButton="0" quotePrefix="0" xfId="0">
      <alignment horizontal="left" vertical="center" wrapText="1"/>
    </xf>
    <xf numFmtId="0" fontId="29" fillId="12" borderId="12" applyAlignment="1" pivotButton="0" quotePrefix="0" xfId="0">
      <alignment horizontal="center" vertical="center" wrapText="1"/>
    </xf>
    <xf numFmtId="0" fontId="27" fillId="8" borderId="1" applyAlignment="1" pivotButton="0" quotePrefix="0" xfId="0">
      <alignment horizontal="left" vertical="center" wrapText="1"/>
    </xf>
    <xf numFmtId="0" fontId="30" fillId="6" borderId="1" applyAlignment="1" pivotButton="0" quotePrefix="0" xfId="0">
      <alignment horizontal="center" vertical="center"/>
    </xf>
    <xf numFmtId="0" fontId="31" fillId="13" borderId="1" applyAlignment="1" pivotButton="0" quotePrefix="0" xfId="0">
      <alignment horizontal="center" vertical="center"/>
    </xf>
    <xf numFmtId="0" fontId="27" fillId="0" borderId="0" pivotButton="0" quotePrefix="0" xfId="0"/>
    <xf numFmtId="0" fontId="26" fillId="3" borderId="2" applyAlignment="1" pivotButton="0" quotePrefix="0" xfId="0">
      <alignment horizontal="center" vertical="center"/>
    </xf>
    <xf numFmtId="0" fontId="32" fillId="14" borderId="1" applyAlignment="1" pivotButton="0" quotePrefix="0" xfId="0">
      <alignment horizontal="center" vertical="center"/>
    </xf>
    <xf numFmtId="0" fontId="33" fillId="15" borderId="1" applyAlignment="1" pivotButton="0" quotePrefix="0" xfId="0">
      <alignment horizontal="center" vertical="center"/>
    </xf>
    <xf numFmtId="0" fontId="6" fillId="0" borderId="1" applyAlignment="1" pivotButton="0" quotePrefix="0" xfId="0">
      <alignment horizontal="left" vertical="center" wrapText="1"/>
    </xf>
    <xf numFmtId="0" fontId="0" fillId="0" borderId="13" pivotButton="0" quotePrefix="0" xfId="0"/>
    <xf numFmtId="0" fontId="0" fillId="0" borderId="14" pivotButton="0" quotePrefix="0" xfId="0"/>
    <xf numFmtId="0" fontId="4" fillId="2" borderId="0" applyAlignment="1" pivotButton="0" quotePrefix="0" xfId="0">
      <alignment horizontal="left" vertical="center" indent="1"/>
    </xf>
    <xf numFmtId="0" fontId="0" fillId="0" borderId="0" pivotButton="0" quotePrefix="0" xfId="0"/>
    <xf numFmtId="0" fontId="3"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7" fillId="0" borderId="1" applyAlignment="1" pivotButton="0" quotePrefix="0" xfId="0">
      <alignment horizontal="left" vertical="center" wrapText="1"/>
    </xf>
    <xf numFmtId="0" fontId="7" fillId="3" borderId="2" applyAlignment="1" pivotButton="0" quotePrefix="0" xfId="0">
      <alignment horizontal="center" vertical="center"/>
    </xf>
    <xf numFmtId="0" fontId="0" fillId="0" borderId="15" pivotButton="0" quotePrefix="0" xfId="0"/>
    <xf numFmtId="0" fontId="26" fillId="2" borderId="0" applyAlignment="1" pivotButton="0" quotePrefix="0" xfId="0">
      <alignment horizontal="left" vertical="center" indent="1"/>
    </xf>
    <xf numFmtId="0" fontId="16" fillId="2" borderId="11" applyAlignment="1" pivotButton="0" quotePrefix="0" xfId="0">
      <alignment horizontal="center" vertical="center"/>
    </xf>
    <xf numFmtId="0" fontId="0" fillId="0" borderId="16" pivotButton="0" quotePrefix="0" xfId="0"/>
    <xf numFmtId="0" fontId="0" fillId="0" borderId="17" pivotButton="0" quotePrefix="0" xfId="0"/>
    <xf numFmtId="0" fontId="12" fillId="8" borderId="7" applyAlignment="1" pivotButton="0" quotePrefix="0" xfId="0">
      <alignment horizontal="center" vertical="center"/>
    </xf>
    <xf numFmtId="0" fontId="0" fillId="0" borderId="19" pivotButton="0" quotePrefix="0" xfId="0"/>
    <xf numFmtId="164" fontId="15" fillId="11" borderId="10" applyAlignment="1" pivotButton="0" quotePrefix="0" xfId="0">
      <alignment horizontal="center" vertical="center"/>
    </xf>
    <xf numFmtId="0" fontId="0" fillId="0" borderId="25" pivotButton="0" quotePrefix="0" xfId="0"/>
    <xf numFmtId="0" fontId="13" fillId="9" borderId="8" applyAlignment="1" pivotButton="0" quotePrefix="0" xfId="0">
      <alignment horizontal="center" vertical="center"/>
    </xf>
    <xf numFmtId="0" fontId="0" fillId="0" borderId="21" pivotButton="0" quotePrefix="0" xfId="0"/>
    <xf numFmtId="0" fontId="8" fillId="4" borderId="3" applyAlignment="1" pivotButton="0" quotePrefix="0" xfId="0">
      <alignment horizontal="center" vertical="center"/>
    </xf>
    <xf numFmtId="0" fontId="0" fillId="0" borderId="18" pivotButton="0" quotePrefix="0" xfId="0"/>
    <xf numFmtId="0" fontId="10" fillId="6" borderId="5" applyAlignment="1" pivotButton="0" quotePrefix="0" xfId="0">
      <alignment horizontal="center" vertical="center"/>
    </xf>
    <xf numFmtId="0" fontId="0" fillId="0" borderId="22" pivotButton="0" quotePrefix="0" xfId="0"/>
    <xf numFmtId="0" fontId="9" fillId="5" borderId="4" applyAlignment="1" pivotButton="0" quotePrefix="0" xfId="0">
      <alignment horizontal="center" vertical="center"/>
    </xf>
    <xf numFmtId="0" fontId="0" fillId="0" borderId="20" pivotButton="0" quotePrefix="0" xfId="0"/>
    <xf numFmtId="0" fontId="11" fillId="7" borderId="6" applyAlignment="1" pivotButton="0" quotePrefix="0" xfId="0">
      <alignment horizontal="center" vertical="center"/>
    </xf>
    <xf numFmtId="0" fontId="0" fillId="0" borderId="24" pivotButton="0" quotePrefix="0" xfId="0"/>
    <xf numFmtId="0" fontId="14" fillId="10" borderId="9" applyAlignment="1" pivotButton="0" quotePrefix="0" xfId="0">
      <alignment horizontal="center" vertical="center"/>
    </xf>
    <xf numFmtId="0" fontId="0" fillId="0" borderId="23" pivotButton="0" quotePrefix="0" xfId="0"/>
    <xf numFmtId="0" fontId="18" fillId="0" borderId="0" applyAlignment="1" pivotButton="0" quotePrefix="0" xfId="0">
      <alignment vertical="center"/>
    </xf>
    <xf numFmtId="0" fontId="17" fillId="0" borderId="0" applyAlignment="1" pivotButton="0" quotePrefix="0" xfId="0">
      <alignment vertical="center"/>
    </xf>
    <xf numFmtId="0" fontId="34" fillId="16" borderId="1" applyAlignment="1" pivotButton="0" quotePrefix="0" xfId="0">
      <alignment horizontal="center" vertical="center"/>
    </xf>
    <xf numFmtId="0" fontId="27" fillId="0" borderId="48" applyAlignment="1" pivotButton="0" quotePrefix="0" xfId="0">
      <alignment horizontal="center" vertical="center" wrapText="1"/>
    </xf>
    <xf numFmtId="0" fontId="28" fillId="0" borderId="48" applyAlignment="1" pivotButton="0" quotePrefix="0" xfId="0">
      <alignment horizontal="center" vertical="center" wrapText="1"/>
    </xf>
    <xf numFmtId="0" fontId="27" fillId="0" borderId="48" applyAlignment="1" pivotButton="0" quotePrefix="0" xfId="0">
      <alignment horizontal="left" vertical="center" wrapText="1"/>
    </xf>
    <xf numFmtId="0" fontId="34" fillId="16" borderId="48" applyAlignment="1" pivotButton="0" quotePrefix="0" xfId="0">
      <alignment horizontal="center" vertical="center" wrapText="1"/>
    </xf>
    <xf numFmtId="0" fontId="35" fillId="17" borderId="0" applyAlignment="1" pivotButton="0" quotePrefix="0" xfId="0">
      <alignment horizontal="center" vertical="center" wrapText="1"/>
    </xf>
    <xf numFmtId="0" fontId="36" fillId="0" borderId="48" applyAlignment="1" pivotButton="0" quotePrefix="0" xfId="0">
      <alignment horizontal="left" vertical="center" wrapText="1"/>
    </xf>
    <xf numFmtId="0" fontId="37" fillId="0" borderId="49" applyAlignment="1" pivotButton="0" quotePrefix="0" xfId="0">
      <alignment vertical="center" wrapText="1"/>
    </xf>
    <xf numFmtId="0" fontId="38" fillId="0" borderId="49" applyAlignment="1" pivotButton="0" quotePrefix="0" xfId="0">
      <alignment vertical="center" wrapText="1"/>
    </xf>
    <xf numFmtId="0" fontId="37" fillId="0" borderId="0" pivotButton="0" quotePrefix="0" xfId="0"/>
    <xf numFmtId="0" fontId="38" fillId="0" borderId="0" pivotButton="0" quotePrefix="0" xfId="0"/>
    <xf numFmtId="0" fontId="39" fillId="18" borderId="1" applyAlignment="1" pivotButton="0" quotePrefix="0" xfId="0">
      <alignment horizontal="center" vertical="center"/>
    </xf>
    <xf numFmtId="0" fontId="39" fillId="18" borderId="48" applyAlignment="1" pivotButton="0" quotePrefix="0" xfId="0">
      <alignment horizontal="center" vertical="center" wrapText="1"/>
    </xf>
    <xf numFmtId="0" fontId="40" fillId="0" borderId="0" applyAlignment="1" pivotButton="0" quotePrefix="0" xfId="0">
      <alignment horizontal="left" vertical="center"/>
    </xf>
    <xf numFmtId="0" fontId="41" fillId="0" borderId="0" applyAlignment="1" pivotButton="0" quotePrefix="0" xfId="0">
      <alignment horizontal="left" vertical="center"/>
    </xf>
    <xf numFmtId="0" fontId="42" fillId="19" borderId="49" applyAlignment="1" pivotButton="0" quotePrefix="0" xfId="0">
      <alignment horizontal="center" vertical="center"/>
    </xf>
    <xf numFmtId="0" fontId="0" fillId="0" borderId="49" pivotButton="0" quotePrefix="0" xfId="0"/>
    <xf numFmtId="0" fontId="42" fillId="18" borderId="49" applyAlignment="1" pivotButton="0" quotePrefix="0" xfId="0">
      <alignment horizontal="center" vertical="center"/>
    </xf>
    <xf numFmtId="0" fontId="43" fillId="20" borderId="49" applyAlignment="1" pivotButton="0" quotePrefix="0" xfId="0">
      <alignment horizontal="center" vertical="center"/>
    </xf>
    <xf numFmtId="0" fontId="44" fillId="18" borderId="49" applyAlignment="1" pivotButton="0" quotePrefix="0" xfId="0">
      <alignment horizontal="center" vertical="center"/>
    </xf>
    <xf numFmtId="0" fontId="45" fillId="20" borderId="49" applyAlignment="1" pivotButton="0" quotePrefix="0" xfId="0">
      <alignment horizontal="center" vertical="center"/>
    </xf>
    <xf numFmtId="0" fontId="46" fillId="18" borderId="49" applyAlignment="1" pivotButton="0" quotePrefix="0" xfId="0">
      <alignment horizontal="center" vertical="center"/>
    </xf>
    <xf numFmtId="0" fontId="47" fillId="21" borderId="49" applyAlignment="1" pivotButton="0" quotePrefix="0" xfId="0">
      <alignment horizontal="center" vertical="center" wrapText="1"/>
    </xf>
    <xf numFmtId="0" fontId="38" fillId="20" borderId="50" applyAlignment="1" pivotButton="0" quotePrefix="0" xfId="0">
      <alignment horizontal="center" vertical="center" wrapText="1"/>
    </xf>
    <xf numFmtId="0" fontId="38" fillId="20" borderId="50" applyAlignment="1" pivotButton="0" quotePrefix="0" xfId="0">
      <alignment horizontal="left" vertical="center" wrapText="1"/>
    </xf>
    <xf numFmtId="0" fontId="48" fillId="22" borderId="50" applyAlignment="1" pivotButton="0" quotePrefix="0" xfId="0">
      <alignment horizontal="center" vertical="center" wrapText="1"/>
    </xf>
    <xf numFmtId="0" fontId="39" fillId="18" borderId="50" applyAlignment="1" pivotButton="0" quotePrefix="0" xfId="0">
      <alignment horizontal="center" vertical="center" wrapText="1"/>
    </xf>
    <xf numFmtId="0" fontId="38" fillId="23" borderId="50" applyAlignment="1" pivotButton="0" quotePrefix="0" xfId="0">
      <alignment horizontal="center" vertical="center" wrapText="1"/>
    </xf>
    <xf numFmtId="0" fontId="38" fillId="23" borderId="50" applyAlignment="1" pivotButton="0" quotePrefix="0" xfId="0">
      <alignment horizontal="left" vertical="center" wrapText="1"/>
    </xf>
    <xf numFmtId="0" fontId="49" fillId="0" borderId="49" applyAlignment="1" pivotButton="0" quotePrefix="0" xfId="0">
      <alignment horizontal="left" vertical="center" wrapText="1"/>
    </xf>
    <xf numFmtId="0" fontId="50" fillId="0" borderId="49" applyAlignment="1" pivotButton="0" quotePrefix="0" xfId="0">
      <alignment horizontal="left" vertical="center" wrapText="1"/>
    </xf>
    <xf numFmtId="0" fontId="0" fillId="0" borderId="49" applyAlignment="1" pivotButton="0" quotePrefix="0" xfId="0">
      <alignment horizontal="left" vertical="center" wrapText="1"/>
    </xf>
    <xf numFmtId="0" fontId="51" fillId="21" borderId="0" pivotButton="0" quotePrefix="0" xfId="0"/>
    <xf numFmtId="0" fontId="52" fillId="24" borderId="49" applyAlignment="1" pivotButton="0" quotePrefix="0" xfId="0">
      <alignment horizontal="center" vertical="center" wrapText="1"/>
    </xf>
    <xf numFmtId="0" fontId="52" fillId="24" borderId="49" applyAlignment="1" pivotButton="0" quotePrefix="0" xfId="0">
      <alignment horizontal="left" vertical="center" wrapText="1"/>
    </xf>
    <xf numFmtId="0" fontId="50" fillId="0" borderId="49" applyAlignment="1" pivotButton="0" quotePrefix="0" xfId="0">
      <alignment horizontal="center" vertical="center" wrapText="1"/>
    </xf>
    <xf numFmtId="0" fontId="0" fillId="0" borderId="60" pivotButton="0" quotePrefix="0" xfId="0"/>
    <xf numFmtId="0" fontId="51" fillId="21" borderId="60" pivotButton="0" quotePrefix="0" xfId="0"/>
    <xf numFmtId="0" fontId="38" fillId="0" borderId="60" pivotButton="0" quotePrefix="0" xfId="0"/>
    <xf numFmtId="0" fontId="52" fillId="25" borderId="60" pivotButton="0" quotePrefix="0" xfId="0"/>
    <xf numFmtId="0" fontId="52" fillId="26" borderId="60" pivotButton="0" quotePrefix="0" xfId="0"/>
    <xf numFmtId="0" fontId="0" fillId="0" borderId="53" pivotButton="0" quotePrefix="0" xfId="0"/>
    <xf numFmtId="0" fontId="0" fillId="0" borderId="54" pivotButton="0" quotePrefix="0" xfId="0"/>
    <xf numFmtId="0" fontId="0" fillId="0" borderId="51" pivotButton="0" quotePrefix="0" xfId="0"/>
    <xf numFmtId="0" fontId="0" fillId="0" borderId="52" pivotButton="0" quotePrefix="0" xfId="0"/>
    <xf numFmtId="0" fontId="0" fillId="0" borderId="57" pivotButton="0" quotePrefix="0" xfId="0"/>
    <xf numFmtId="0" fontId="0" fillId="0" borderId="58" pivotButton="0" quotePrefix="0" xfId="0"/>
    <xf numFmtId="0" fontId="0" fillId="0" borderId="59" pivotButton="0" quotePrefix="0" xfId="0"/>
    <xf numFmtId="0" fontId="53" fillId="22" borderId="50" applyAlignment="1" pivotButton="0" quotePrefix="0" xfId="0">
      <alignment horizontal="center" vertical="center" wrapText="1"/>
    </xf>
    <xf numFmtId="0" fontId="54" fillId="18" borderId="50" applyAlignment="1" pivotButton="0" quotePrefix="0" xfId="0">
      <alignment horizontal="center" vertical="center" wrapText="1"/>
    </xf>
    <xf numFmtId="0" fontId="7" fillId="0" borderId="60" applyAlignment="1" pivotButton="0" quotePrefix="0" xfId="0">
      <alignment horizontal="center" vertical="center"/>
    </xf>
    <xf numFmtId="0" fontId="51" fillId="21" borderId="60" applyAlignment="1" pivotButton="0" quotePrefix="0" xfId="0">
      <alignment horizontal="center" vertical="center" wrapText="1"/>
    </xf>
    <xf numFmtId="0" fontId="0" fillId="21" borderId="0" pivotButton="0" quotePrefix="0" xfId="0"/>
    <xf numFmtId="0" fontId="50" fillId="0" borderId="60" applyAlignment="1" pivotButton="0" quotePrefix="0" xfId="0">
      <alignment horizontal="center" vertical="center" wrapText="1"/>
    </xf>
    <xf numFmtId="0" fontId="50" fillId="0" borderId="60" applyAlignment="1" pivotButton="0" quotePrefix="0" xfId="0">
      <alignment horizontal="left" vertical="center" wrapText="1"/>
    </xf>
    <xf numFmtId="0" fontId="51" fillId="21" borderId="60" applyAlignment="1" pivotButton="0" quotePrefix="0" xfId="0">
      <alignment horizontal="left" vertical="center" wrapText="1"/>
    </xf>
    <xf numFmtId="0" fontId="49" fillId="0" borderId="60" applyAlignment="1" pivotButton="0" quotePrefix="0" xfId="0">
      <alignment horizontal="left" vertical="center" wrapText="1"/>
    </xf>
    <xf numFmtId="0" fontId="52" fillId="25" borderId="60" applyAlignment="1" pivotButton="0" quotePrefix="0" xfId="0">
      <alignment horizontal="left" vertical="center" wrapText="1"/>
    </xf>
    <xf numFmtId="0" fontId="0" fillId="25" borderId="0" pivotButton="0" quotePrefix="0" xfId="0"/>
    <xf numFmtId="0" fontId="52" fillId="26" borderId="60" applyAlignment="1" pivotButton="0" quotePrefix="0" xfId="0">
      <alignment horizontal="left" vertical="center" wrapText="1"/>
    </xf>
    <xf numFmtId="0" fontId="0" fillId="26" borderId="0" pivotButton="0" quotePrefix="0" xfId="0"/>
    <xf numFmtId="0" fontId="51" fillId="21" borderId="62" applyAlignment="1" pivotButton="0" quotePrefix="0" xfId="0">
      <alignment horizontal="center" vertical="center" wrapText="1"/>
    </xf>
    <xf numFmtId="0" fontId="51" fillId="21" borderId="62" applyAlignment="1" pivotButton="0" quotePrefix="0" xfId="0">
      <alignment horizontal="left" vertical="center" wrapText="1"/>
    </xf>
    <xf numFmtId="0" fontId="52" fillId="25" borderId="62" applyAlignment="1" pivotButton="0" quotePrefix="0" xfId="0">
      <alignment horizontal="left" vertical="center" wrapText="1"/>
    </xf>
    <xf numFmtId="0" fontId="52" fillId="26" borderId="62" applyAlignment="1" pivotButton="0" quotePrefix="0" xfId="0">
      <alignment horizontal="left" vertical="center" wrapText="1"/>
    </xf>
    <xf numFmtId="0" fontId="50" fillId="0" borderId="49" applyAlignment="1" pivotButton="0" quotePrefix="0" xfId="0">
      <alignment horizontal="center" vertical="center"/>
    </xf>
    <xf numFmtId="0" fontId="50" fillId="0" borderId="49" applyAlignment="1" pivotButton="0" quotePrefix="0" xfId="0">
      <alignment horizontal="left" vertical="center"/>
    </xf>
    <xf numFmtId="0" fontId="53" fillId="22" borderId="49" applyAlignment="1" pivotButton="0" quotePrefix="0" xfId="0">
      <alignment horizontal="center" vertical="center"/>
    </xf>
    <xf numFmtId="0" fontId="54" fillId="18" borderId="49" applyAlignment="1" pivotButton="0" quotePrefix="0" xfId="0">
      <alignment horizontal="center" vertical="center"/>
    </xf>
    <xf numFmtId="0" fontId="49" fillId="0" borderId="49" pivotButton="0" quotePrefix="0" xfId="0"/>
    <xf numFmtId="0" fontId="49" fillId="0" borderId="49" applyAlignment="1" pivotButton="0" quotePrefix="0" xfId="0">
      <alignment horizontal="center" vertical="center"/>
    </xf>
    <xf numFmtId="0" fontId="55" fillId="27"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I64"/>
  <sheetViews>
    <sheetView topLeftCell="A16" workbookViewId="0">
      <selection activeCell="C16" sqref="C16:E16"/>
    </sheetView>
  </sheetViews>
  <sheetFormatPr baseColWidth="8" defaultRowHeight="14.4" outlineLevelCol="0"/>
  <cols>
    <col width="4.6640625" customWidth="1" style="34" min="1" max="1"/>
    <col width="32.6640625" bestFit="1" customWidth="1" style="34" min="2" max="2"/>
    <col width="40.6640625" customWidth="1" style="34" min="3" max="3"/>
    <col width="20.6640625" customWidth="1" style="34" min="4" max="4"/>
    <col width="117.77734375" bestFit="1" customWidth="1" style="34" min="5" max="5"/>
  </cols>
  <sheetData>
    <row r="2" ht="28.05" customHeight="1" s="34">
      <c r="B2" s="37" t="inlineStr">
        <is>
          <t>BÁO CÁO KẾ HOẠCH &amp; KỊCH BẢN KIỂM THỬ PHẦN MỀM (TEST PLAN &amp; TEST CASES)</t>
        </is>
      </c>
    </row>
    <row r="3" ht="22.05" customHeight="1" s="34">
      <c r="B3" s="36" t="inlineStr">
        <is>
          <t>HỆ THỐNG CỜ TƯỚNG THÔNG MINH ĐA NỀN TẢNG (WEB &amp; MOBILE) KẾT HỢP AI &amp; SIGNALR</t>
        </is>
      </c>
    </row>
    <row r="4" ht="18" customHeight="1" s="34">
      <c r="B4" s="35" t="inlineStr">
        <is>
          <t>Đồ án Khóa Luận Tốt Nghiệp Ngành Công Nghệ Thông Tin / Kỹ Thuật Phần Mềm</t>
        </is>
      </c>
    </row>
    <row r="6" ht="16.8" customHeight="1" s="34">
      <c r="B6" s="33" t="inlineStr">
        <is>
          <t>1. THÔNG TIN CHUNG DỰ ÁN</t>
        </is>
      </c>
    </row>
    <row r="8" ht="22.05" customHeight="1" s="34">
      <c r="B8" s="1" t="inlineStr">
        <is>
          <t>Tên Đồ án / Dự án:</t>
        </is>
      </c>
      <c r="C8" s="30" t="inlineStr">
        <is>
          <t>Hệ Thống Cờ Tướng Thông Minh Đa Nền Tảng (ChessCore)</t>
        </is>
      </c>
      <c r="D8" s="31" t="n"/>
      <c r="E8" s="32" t="n"/>
    </row>
    <row r="9" ht="22.05" customHeight="1" s="34">
      <c r="B9" s="1" t="inlineStr">
        <is>
          <t>Mã Đồ án:</t>
        </is>
      </c>
      <c r="C9" s="30" t="inlineStr">
        <is>
          <t>KLCN_153_CO_TUONG</t>
        </is>
      </c>
      <c r="D9" s="31" t="n"/>
      <c r="E9" s="32" t="n"/>
    </row>
    <row r="10" ht="22.05" customHeight="1" s="34">
      <c r="B10" s="1" t="inlineStr">
        <is>
          <t>Công nghệ Nền tảng:</t>
        </is>
      </c>
      <c r="C10" s="30" t="inlineStr">
        <is>
          <t>Web (ASP.NET Core 9 MVC) + Mobile (Flutter Cross-platform) + SignalR Realtime</t>
        </is>
      </c>
      <c r="D10" s="31" t="n"/>
      <c r="E10" s="32" t="n"/>
    </row>
    <row r="11" ht="22.05" customHeight="1" s="34">
      <c r="B11" s="1" t="inlineStr">
        <is>
          <t>Sinh viên Thực hiện:</t>
        </is>
      </c>
      <c r="C11" s="30" t="n"/>
      <c r="D11" s="31" t="n"/>
      <c r="E11" s="32" t="n"/>
    </row>
    <row r="12" ht="22.05" customHeight="1" s="34">
      <c r="B12" s="1" t="inlineStr">
        <is>
          <t>Giáo viên Hướng dẫn:</t>
        </is>
      </c>
      <c r="C12" s="30" t="n"/>
      <c r="D12" s="31" t="n"/>
      <c r="E12" s="32" t="n"/>
    </row>
    <row r="13" ht="24" customHeight="1" s="34">
      <c r="A13" s="99" t="n"/>
      <c r="B13" s="92" t="inlineStr">
        <is>
          <t>Thời gian kiểm thử Chu kỳ 1 (Round 1):</t>
        </is>
      </c>
      <c r="C13" s="93" t="inlineStr">
        <is>
          <t>27/10/2026 21:46:44 (UTC+7)</t>
        </is>
      </c>
      <c r="D13" s="104" t="n"/>
      <c r="E13" s="105" t="n"/>
      <c r="F13" s="99" t="n"/>
      <c r="G13" s="99" t="n"/>
      <c r="H13" s="99" t="n"/>
      <c r="I13" s="99" t="n"/>
    </row>
    <row r="14" ht="24" customHeight="1" s="34">
      <c r="A14" s="99" t="n"/>
      <c r="B14" s="92" t="inlineStr">
        <is>
          <t>Thời gian tái kiểm thử Chu kỳ 2 (Round 2):</t>
        </is>
      </c>
      <c r="C14" s="92" t="inlineStr">
        <is>
          <t>Tester độc lập (Bộ Test Runner Tự động)</t>
        </is>
      </c>
      <c r="D14" s="104" t="n"/>
      <c r="E14" s="105" t="n"/>
      <c r="F14" s="99" t="n"/>
      <c r="G14" s="99" t="n"/>
      <c r="H14" s="99" t="n"/>
      <c r="I14" s="99" t="n"/>
    </row>
    <row r="15" ht="24" customHeight="1" s="34">
      <c r="A15" s="99" t="n"/>
      <c r="B15" s="92" t="inlineStr">
        <is>
          <t>Người thực hiện kiểm thử (Tester):</t>
        </is>
      </c>
      <c r="C15" s="93" t="inlineStr">
        <is>
          <t>v2.2</t>
        </is>
      </c>
      <c r="D15" s="104" t="n"/>
      <c r="E15" s="105" t="n"/>
      <c r="F15" s="99" t="n"/>
      <c r="G15" s="99" t="n"/>
      <c r="H15" s="99" t="n"/>
      <c r="I15" s="99" t="n"/>
    </row>
    <row r="16" ht="24" customHeight="1" s="34">
      <c r="A16" s="99" t="n"/>
      <c r="B16" s="92" t="inlineStr">
        <is>
          <t>Phiên bản tài liệu (Version):</t>
        </is>
      </c>
      <c r="C16" s="92" t="inlineStr">
        <is>
          <t>Đã hoàn tất kiểm thử hồi quy Chu kỳ 2 (100% Pass)</t>
        </is>
      </c>
      <c r="D16" s="104" t="n"/>
      <c r="E16" s="105" t="n"/>
      <c r="F16" s="99" t="n"/>
      <c r="G16" s="99" t="n"/>
      <c r="H16" s="99" t="n"/>
      <c r="I16" s="99" t="n"/>
    </row>
    <row r="17" ht="24" customHeight="1" s="34">
      <c r="A17" s="99" t="n"/>
      <c r="B17" s="92" t="inlineStr">
        <is>
          <t>Tình trạng kết quả tổng thể:</t>
        </is>
      </c>
      <c r="C17" s="92" t="inlineStr">
        <is>
          <t>Đã hoàn tất 2 chu kỳ: Chu kỳ 1 (120/137 Pass, 17 Bugs); Chu kỳ 2 (17/17 Bugs ĐÃ FIX TOÀN DIỆN - 100% Pass)</t>
        </is>
      </c>
      <c r="D17" s="104" t="n"/>
      <c r="E17" s="105" t="n"/>
      <c r="F17" s="99" t="n"/>
      <c r="G17" s="99" t="n"/>
      <c r="H17" s="99" t="n"/>
      <c r="I17" s="99" t="n"/>
    </row>
    <row r="18" ht="24" customHeight="1" s="34">
      <c r="A18" s="99" t="n"/>
      <c r="B18" s="113" t="n"/>
      <c r="C18" s="99" t="n"/>
      <c r="D18" s="99" t="n"/>
      <c r="E18" s="99" t="n"/>
      <c r="F18" s="99" t="n"/>
      <c r="G18" s="99" t="n"/>
      <c r="H18" s="99" t="n"/>
      <c r="I18" s="99" t="n"/>
    </row>
    <row r="19" ht="28" customHeight="1" s="34">
      <c r="A19" s="99" t="n"/>
      <c r="B19" s="124" t="inlineStr">
        <is>
          <t>2. LỊCH SỬ CẬP NHẬT TÀI LIỆU</t>
        </is>
      </c>
      <c r="F19" s="99" t="n"/>
      <c r="G19" s="99" t="n"/>
      <c r="H19" s="99" t="n"/>
      <c r="I19" s="99" t="n"/>
    </row>
    <row r="20" ht="24" customHeight="1" s="34">
      <c r="A20" s="99" t="n"/>
      <c r="B20" s="116" t="n"/>
      <c r="C20" s="116" t="n"/>
      <c r="D20" s="116" t="n"/>
      <c r="E20" s="117" t="n"/>
      <c r="F20" s="99" t="n"/>
      <c r="G20" s="99" t="n"/>
      <c r="H20" s="99" t="n"/>
      <c r="I20" s="99" t="n"/>
    </row>
    <row r="21" ht="24" customHeight="1" s="34">
      <c r="A21" s="99" t="n"/>
      <c r="B21" s="96" t="inlineStr">
        <is>
          <t>Phiên bản</t>
        </is>
      </c>
      <c r="C21" s="96" t="inlineStr">
        <is>
          <t>Ngày cập nhật</t>
        </is>
      </c>
      <c r="D21" s="96" t="inlineStr">
        <is>
          <t>Tác giả</t>
        </is>
      </c>
      <c r="E21" s="97" t="inlineStr">
        <is>
          <t>Mô tả thay đổi</t>
        </is>
      </c>
      <c r="F21" s="99" t="n"/>
      <c r="G21" s="99" t="n"/>
      <c r="H21" s="99" t="n"/>
      <c r="I21" s="99" t="n"/>
    </row>
    <row r="22" ht="24" customHeight="1" s="34">
      <c r="A22" s="99" t="n"/>
      <c r="B22" s="98" t="inlineStr">
        <is>
          <t>v1.0</t>
        </is>
      </c>
      <c r="C22" s="98" t="inlineStr">
        <is>
          <t>20/10/2026</t>
        </is>
      </c>
      <c r="D22" s="98" t="inlineStr">
        <is>
          <t>Tác giả đồ án</t>
        </is>
      </c>
      <c r="E22" s="93" t="inlineStr">
        <is>
          <t>Khởi tạo bộ kịch bản kiểm thử ban đầu cho bản Web</t>
        </is>
      </c>
      <c r="F22" s="99" t="n"/>
      <c r="G22" s="99" t="n"/>
      <c r="H22" s="99" t="n"/>
      <c r="I22" s="99" t="n"/>
    </row>
    <row r="23" ht="24" customHeight="1" s="34">
      <c r="A23" s="99" t="n"/>
      <c r="B23" s="98" t="inlineStr">
        <is>
          <t>v1.5</t>
        </is>
      </c>
      <c r="C23" s="98" t="inlineStr">
        <is>
          <t>25/10/2026</t>
        </is>
      </c>
      <c r="D23" s="98" t="inlineStr">
        <is>
          <t>Tác giả đồ án</t>
        </is>
      </c>
      <c r="E23" s="93" t="inlineStr">
        <is>
          <t>Bổ sung kịch bản kiểm thử Realtime SignalR, Đồng hồ rụng kim và AI</t>
        </is>
      </c>
      <c r="F23" s="99" t="n"/>
      <c r="G23" s="99" t="n"/>
      <c r="H23" s="99" t="n"/>
      <c r="I23" s="99" t="n"/>
    </row>
    <row r="24" ht="24" customHeight="1" s="34">
      <c r="A24" s="99" t="n"/>
      <c r="B24" s="98" t="inlineStr">
        <is>
          <t>v2.0</t>
        </is>
      </c>
      <c r="C24" s="98" t="inlineStr">
        <is>
          <t>27/10/2026</t>
        </is>
      </c>
      <c r="D24" s="98" t="inlineStr">
        <is>
          <t>Tác giả đồ án</t>
        </is>
      </c>
      <c r="E24" s="93" t="inlineStr">
        <is>
          <t>Hoàn thiện 12 sheet kiểm thử chi tiết; thực hiện kiểm thử Chu kỳ 1 phát hiện 17 lỗi ghi nhận tại Sheet 12_Defect_Log</t>
        </is>
      </c>
      <c r="F24" s="99" t="n"/>
      <c r="G24" s="99" t="n"/>
      <c r="H24" s="99" t="n"/>
      <c r="I24" s="99" t="n"/>
    </row>
    <row r="25" ht="38" customHeight="1" s="34">
      <c r="A25" s="99" t="n"/>
      <c r="B25" s="98" t="inlineStr">
        <is>
          <t>v2.1</t>
        </is>
      </c>
      <c r="C25" s="98" t="inlineStr">
        <is>
          <t>28/10/2026</t>
        </is>
      </c>
      <c r="D25" s="98" t="inlineStr">
        <is>
          <t>Tester độc lập</t>
        </is>
      </c>
      <c r="E25" s="93" t="inlineStr">
        <is>
          <t>Đồng bộ commit mới nhất 65ae81d từ branch main trên cloud (28/10/2026 22:24:20). Thực hiện kiểm thử chu kỳ 2 (Retest Round 2) cho 17 lỗi. Bổ sung Sheet 13_Retest_Round2 ghi nhận 17/17 bug đã được fix triệt để (100% Fixed). Lưu trữ đầy đủ lịch sử commit &amp; thời gian của cả 2 chu kỳ kiểm thử.</t>
        </is>
      </c>
      <c r="F25" s="99" t="n"/>
      <c r="G25" s="99" t="n"/>
      <c r="H25" s="99" t="n"/>
      <c r="I25" s="99" t="n"/>
    </row>
    <row r="26" ht="24" customHeight="1" s="34">
      <c r="A26" s="99" t="n"/>
      <c r="B26" s="99" t="n"/>
      <c r="C26" s="99" t="n"/>
      <c r="D26" s="99" t="n"/>
      <c r="E26" s="99" t="n"/>
      <c r="F26" s="99" t="n"/>
      <c r="G26" s="99" t="n"/>
      <c r="H26" s="99" t="n"/>
      <c r="I26" s="99" t="n"/>
    </row>
    <row r="27" ht="28" customHeight="1" s="34">
      <c r="A27" s="99" t="n"/>
      <c r="B27" s="125" t="inlineStr">
        <is>
          <t>3. THÔNG TIN ĐỒNG BỘ MÃ NGUỒN TỪ CLOUD (GIT REMOTE &amp; COMMITS HISTORY)</t>
        </is>
      </c>
      <c r="F27" s="99" t="n"/>
      <c r="G27" s="99" t="n"/>
      <c r="H27" s="99" t="n"/>
      <c r="I27" s="99" t="n"/>
    </row>
    <row r="28" ht="24" customHeight="1" s="34">
      <c r="A28" s="99" t="n"/>
      <c r="B28" s="119" t="n"/>
      <c r="C28" s="117" t="n"/>
      <c r="D28" s="99" t="n"/>
      <c r="E28" s="99" t="n"/>
      <c r="F28" s="99" t="n"/>
      <c r="G28" s="99" t="n"/>
      <c r="H28" s="99" t="n"/>
      <c r="I28" s="99" t="n"/>
    </row>
    <row r="29" ht="24" customHeight="1" s="34">
      <c r="A29" s="99" t="n"/>
      <c r="B29" s="92" t="inlineStr">
        <is>
          <t>Kho mã nguồn Cloud (Git Remote):</t>
        </is>
      </c>
      <c r="C29" s="93" t="inlineStr">
        <is>
          <t>https://github.com/thequang120605-byte/C-T-ng-.git</t>
        </is>
      </c>
      <c r="D29" s="104" t="n"/>
      <c r="E29" s="105" t="n"/>
      <c r="F29" s="99" t="n"/>
      <c r="G29" s="99" t="n"/>
      <c r="H29" s="99" t="n"/>
      <c r="I29" s="99" t="n"/>
    </row>
    <row r="30" ht="24" customHeight="1" s="34">
      <c r="A30" s="99" t="n"/>
      <c r="B30" s="92" t="inlineStr">
        <is>
          <t>Nhánh kiểm thử (Target Branch):</t>
        </is>
      </c>
      <c r="C30" s="93" t="inlineStr">
        <is>
          <t>main (Origin Main)</t>
        </is>
      </c>
      <c r="D30" s="104" t="n"/>
      <c r="E30" s="105" t="n"/>
      <c r="F30" s="99" t="n"/>
      <c r="G30" s="99" t="n"/>
      <c r="H30" s="99" t="n"/>
      <c r="I30" s="99" t="n"/>
    </row>
    <row r="31" ht="24" customHeight="1" s="34">
      <c r="A31" s="99" t="n"/>
      <c r="B31" s="119" t="n"/>
      <c r="C31" s="117" t="n"/>
      <c r="D31" s="99" t="n"/>
      <c r="E31" s="99" t="n"/>
      <c r="F31" s="99" t="n"/>
      <c r="G31" s="99" t="n"/>
      <c r="H31" s="99" t="n"/>
      <c r="I31" s="99" t="n"/>
    </row>
    <row r="32" ht="26" customHeight="1" s="34">
      <c r="A32" s="99" t="n"/>
      <c r="B32" s="126" t="inlineStr">
        <is>
          <t>3.1. CHU KỲ 1: KIỂM THỬ BAN ĐẦU (ROUND 1 - PHÁT HIỆN 17 LỖI)</t>
        </is>
      </c>
      <c r="F32" s="99" t="n"/>
      <c r="G32" s="99" t="n"/>
      <c r="H32" s="99" t="n"/>
      <c r="I32" s="99" t="n"/>
    </row>
    <row r="33" ht="24" customHeight="1" s="34">
      <c r="A33" s="99" t="n"/>
      <c r="B33" s="92" t="inlineStr">
        <is>
          <t>Mã Commit Git Chu kỳ 1 (Commit Hash):</t>
        </is>
      </c>
      <c r="C33" s="93" t="inlineStr">
        <is>
          <t>52885c7ecfcd53c2cecc6c73cba7f4231e996efc (Short: 52885c7)</t>
        </is>
      </c>
      <c r="D33" s="104" t="n"/>
      <c r="E33" s="105" t="n"/>
      <c r="F33" s="99" t="n"/>
      <c r="G33" s="99" t="n"/>
      <c r="H33" s="99" t="n"/>
      <c r="I33" s="99" t="n"/>
    </row>
    <row r="34" ht="24" customHeight="1" s="34">
      <c r="A34" s="99" t="n"/>
      <c r="B34" s="92" t="inlineStr">
        <is>
          <t>Thông điệp Commit Chu kỳ 1 (Commit Message):</t>
        </is>
      </c>
      <c r="C34" s="93" t="inlineStr">
        <is>
          <t>fix(master-game): remove unused exception variable warning</t>
        </is>
      </c>
      <c r="D34" s="104" t="n"/>
      <c r="E34" s="105" t="n"/>
      <c r="F34" s="99" t="n"/>
      <c r="G34" s="99" t="n"/>
      <c r="H34" s="99" t="n"/>
      <c r="I34" s="99" t="n"/>
    </row>
    <row r="35" ht="24" customHeight="1" s="34">
      <c r="A35" s="99" t="n"/>
      <c r="B35" s="92" t="inlineStr">
        <is>
          <t>Tác giả commit (Author):</t>
        </is>
      </c>
      <c r="C35" s="93" t="inlineStr">
        <is>
          <t>nguyentrongnguyen3004-eng &lt;nguyentrongnguyen3004@gmail.com&gt;</t>
        </is>
      </c>
      <c r="D35" s="104" t="n"/>
      <c r="E35" s="105" t="n"/>
      <c r="F35" s="99" t="n"/>
      <c r="G35" s="99" t="n"/>
      <c r="H35" s="99" t="n"/>
      <c r="I35" s="99" t="n"/>
    </row>
    <row r="36" ht="24" customHeight="1" s="34">
      <c r="A36" s="99" t="n"/>
      <c r="B36" s="92" t="inlineStr">
        <is>
          <t>Thời gian commit trên Cloud (Lần 1):</t>
        </is>
      </c>
      <c r="C36" s="92" t="inlineStr">
        <is>
          <t>Mon Oct 26 12:25:07 2026 +0700 (26/10/2026 12:25:07)</t>
        </is>
      </c>
      <c r="D36" s="104" t="n"/>
      <c r="E36" s="105" t="n"/>
      <c r="F36" s="99" t="n"/>
      <c r="G36" s="99" t="n"/>
      <c r="H36" s="99" t="n"/>
      <c r="I36" s="99" t="n"/>
    </row>
    <row r="37" ht="24" customHeight="1" s="34">
      <c r="A37" s="99" t="n"/>
      <c r="B37" s="92" t="inlineStr">
        <is>
          <t>Thời gian Pull / Bắt đầu kiểm thử Lần 1:</t>
        </is>
      </c>
      <c r="C37" s="92" t="inlineStr">
        <is>
          <t>27/10/2026 21:46:44 (UTC+7)</t>
        </is>
      </c>
      <c r="D37" s="104" t="n"/>
      <c r="E37" s="105" t="n"/>
      <c r="F37" s="99" t="n"/>
      <c r="G37" s="99" t="n"/>
      <c r="H37" s="99" t="n"/>
      <c r="I37" s="99" t="n"/>
    </row>
    <row r="38" ht="24" customHeight="1" s="34">
      <c r="A38" s="99" t="n"/>
      <c r="B38" s="92" t="inlineStr">
        <is>
          <t>Quy mô &amp; Kết quả kiểm thử Chu kỳ 1:</t>
        </is>
      </c>
      <c r="C38" s="93" t="inlineStr">
        <is>
          <t>137 Test Cases | Đạt: 120 (87.6%) - Không đạt: 17 (12.4%)</t>
        </is>
      </c>
      <c r="D38" s="104" t="n"/>
      <c r="E38" s="105" t="n"/>
      <c r="F38" s="99" t="n"/>
      <c r="G38" s="99" t="n"/>
      <c r="H38" s="99" t="n"/>
      <c r="I38" s="99" t="n"/>
    </row>
    <row r="39" ht="24" customHeight="1" s="34">
      <c r="A39" s="99" t="n"/>
      <c r="B39" s="92" t="inlineStr">
        <is>
          <t>Báo cáo chi tiết Lần 1:</t>
        </is>
      </c>
      <c r="C39" s="93" t="inlineStr">
        <is>
          <t>Ghi nhận 17 Defect tại Sheet 12_Defect_Log (Đã xuất tài liệu hướng dẫn fix lỗi cho Dev)</t>
        </is>
      </c>
      <c r="D39" s="104" t="n"/>
      <c r="E39" s="105" t="n"/>
      <c r="F39" s="99" t="n"/>
      <c r="G39" s="99" t="n"/>
      <c r="H39" s="99" t="n"/>
      <c r="I39" s="99" t="n"/>
    </row>
    <row r="40" ht="24" customHeight="1" s="34">
      <c r="A40" s="99" t="n"/>
      <c r="B40" s="119" t="n"/>
      <c r="C40" s="117" t="n"/>
      <c r="D40" s="99" t="n"/>
      <c r="E40" s="99" t="n"/>
      <c r="F40" s="99" t="n"/>
      <c r="G40" s="99" t="n"/>
      <c r="H40" s="99" t="n"/>
      <c r="I40" s="99" t="n"/>
    </row>
    <row r="41" ht="26" customHeight="1" s="34">
      <c r="A41" s="99" t="n"/>
      <c r="B41" s="127" t="inlineStr">
        <is>
          <t>3.2. CHU KỲ 2: TÁI KIỂM THỬ SAU KHI SỬA LỖI (ROUND 2 - 100% FIXED &amp; NGHIỆM THU)</t>
        </is>
      </c>
      <c r="F41" s="99" t="n"/>
      <c r="G41" s="99" t="n"/>
      <c r="H41" s="99" t="n"/>
      <c r="I41" s="99" t="n"/>
    </row>
    <row r="42" ht="24" customHeight="1" s="34">
      <c r="A42" s="99" t="n"/>
      <c r="B42" s="92" t="inlineStr">
        <is>
          <t>Mã Commit Git Chu kỳ 2 (Commit Hash):</t>
        </is>
      </c>
      <c r="C42" s="93" t="inlineStr">
        <is>
          <t>935656d4f7b211f5ac3ae12f91d5ee58572ade12 (Short: 935656d)</t>
        </is>
      </c>
      <c r="D42" s="104" t="n"/>
      <c r="E42" s="105" t="n"/>
      <c r="F42" s="99" t="n"/>
      <c r="G42" s="99" t="n"/>
      <c r="H42" s="99" t="n"/>
      <c r="I42" s="99" t="n"/>
    </row>
    <row r="43" ht="24" customHeight="1" s="34">
      <c r="A43" s="99" t="n"/>
      <c r="B43" s="92" t="inlineStr">
        <is>
          <t>Thông điệp Commit Chu kỳ 2 (Commit Message):</t>
        </is>
      </c>
      <c r="C43" s="93" t="inlineStr">
        <is>
          <t>feat(ui): upgrade home leaderboard cards, master game autoplay speed controls and victory confetti celebration</t>
        </is>
      </c>
      <c r="D43" s="104" t="n"/>
      <c r="E43" s="105" t="n"/>
      <c r="F43" s="99" t="n"/>
      <c r="G43" s="99" t="n"/>
      <c r="H43" s="99" t="n"/>
      <c r="I43" s="99" t="n"/>
    </row>
    <row r="44" ht="24" customHeight="1" s="34">
      <c r="A44" s="99" t="n"/>
      <c r="B44" s="92" t="inlineStr">
        <is>
          <t>Tác giả commit (Author):</t>
        </is>
      </c>
      <c r="C44" s="93" t="inlineStr">
        <is>
          <t>nguyentrongnguyen3004-eng &lt;nguyentrongnguyen3004@gmail.com&gt;</t>
        </is>
      </c>
      <c r="D44" s="104" t="n"/>
      <c r="E44" s="105" t="n"/>
      <c r="F44" s="99" t="n"/>
      <c r="G44" s="99" t="n"/>
      <c r="H44" s="99" t="n"/>
      <c r="I44" s="99" t="n"/>
    </row>
    <row r="45" ht="24" customHeight="1" s="34">
      <c r="A45" s="99" t="n"/>
      <c r="B45" s="92" t="inlineStr">
        <is>
          <t>Thời gian commit trên Cloud (Lần 2):</t>
        </is>
      </c>
      <c r="C45" s="92" t="inlineStr">
        <is>
          <t>Thu Oct 29 00:11:06 2026 +0700</t>
        </is>
      </c>
      <c r="D45" s="104" t="n"/>
      <c r="E45" s="105" t="n"/>
      <c r="F45" s="99" t="n"/>
      <c r="G45" s="99" t="n"/>
      <c r="H45" s="99" t="n"/>
      <c r="I45" s="99" t="n"/>
    </row>
    <row r="46" ht="24" customHeight="1" s="34">
      <c r="A46" s="99" t="n"/>
      <c r="B46" s="92" t="inlineStr">
        <is>
          <t>Thời gian Pull / Bắt đầu kiểm thử Lần 2:</t>
        </is>
      </c>
      <c r="C46" s="92" t="inlineStr">
        <is>
          <t>29/10/2026 00:27:49 (UTC+7)</t>
        </is>
      </c>
      <c r="D46" s="104" t="n"/>
      <c r="E46" s="105" t="n"/>
      <c r="F46" s="99" t="n"/>
      <c r="G46" s="99" t="n"/>
      <c r="H46" s="99" t="n"/>
      <c r="I46" s="99" t="n"/>
    </row>
    <row r="47" ht="24" customHeight="1" s="34">
      <c r="A47" s="99" t="n"/>
      <c r="B47" s="92" t="inlineStr">
        <is>
          <t>Quy mô &amp; Kết quả tái kiểm thử Chu kỳ 2:</t>
        </is>
      </c>
      <c r="C47" s="93" t="inlineStr">
        <is>
          <t>Toàn bộ 137 Test Cases | Đạt (Pass): 137/137 (100.0%) - Tỉ lệ lỗi hồi quy: 0.0%</t>
        </is>
      </c>
      <c r="D47" s="104" t="n"/>
      <c r="E47" s="105" t="n"/>
      <c r="F47" s="99" t="n"/>
      <c r="G47" s="99" t="n"/>
      <c r="H47" s="99" t="n"/>
      <c r="I47" s="99" t="n"/>
    </row>
    <row r="48" ht="24" customHeight="1" s="34">
      <c r="A48" s="99" t="n"/>
      <c r="B48" s="92" t="inlineStr">
        <is>
          <t>Báo cáo chi tiết Lần 2:</t>
        </is>
      </c>
      <c r="C48" s="93" t="inlineStr">
        <is>
          <t>Ghi nhận toàn bộ kết quả tại Sheet 13_Retest_Round2 &amp; Dashboard 03_Test_Summary</t>
        </is>
      </c>
      <c r="D48" s="104" t="n"/>
      <c r="E48" s="105" t="n"/>
      <c r="F48" s="99" t="n"/>
      <c r="G48" s="99" t="n"/>
      <c r="H48" s="99" t="n"/>
      <c r="I48" s="99" t="n"/>
    </row>
    <row r="49" ht="24" customHeight="1" s="34">
      <c r="A49" s="99" t="n"/>
      <c r="B49" s="92" t="inlineStr">
        <is>
          <t>Đánh giá &amp; Kết luận nghiệm thu:</t>
        </is>
      </c>
      <c r="C49" s="92" t="inlineStr">
        <is>
          <t>17/17 LỖI ĐÃ ĐƯỢC FIX TOÀN DIỆN &amp; 100% TEST CASE VƯỢT QUA KIỂM THỬ HỒI QUY.</t>
        </is>
      </c>
      <c r="D49" s="104" t="n"/>
      <c r="E49" s="105" t="n"/>
      <c r="F49" s="99" t="n"/>
      <c r="G49" s="99" t="n"/>
      <c r="H49" s="99" t="n"/>
      <c r="I49" s="99" t="n"/>
    </row>
    <row r="50" ht="24" customHeight="1" s="34">
      <c r="A50" s="99" t="n"/>
      <c r="B50" s="99" t="n"/>
      <c r="C50" s="99" t="n"/>
      <c r="D50" s="99" t="n"/>
      <c r="E50" s="99" t="n"/>
      <c r="F50" s="99" t="n"/>
      <c r="G50" s="99" t="n"/>
      <c r="H50" s="99" t="n"/>
      <c r="I50" s="99" t="n"/>
    </row>
    <row r="51" ht="24" customHeight="1" s="34">
      <c r="A51" s="99" t="n"/>
      <c r="B51" s="99" t="n"/>
      <c r="C51" s="99" t="n"/>
      <c r="D51" s="99" t="n"/>
      <c r="E51" s="99" t="n"/>
      <c r="F51" s="99" t="n"/>
      <c r="G51" s="99" t="n"/>
      <c r="H51" s="99" t="n"/>
      <c r="I51" s="99" t="n"/>
    </row>
    <row r="52" ht="24" customHeight="1" s="34">
      <c r="A52" s="99" t="n"/>
      <c r="B52" s="99" t="n"/>
      <c r="C52" s="99" t="n"/>
      <c r="D52" s="99" t="n"/>
      <c r="E52" s="99" t="n"/>
      <c r="F52" s="99" t="n"/>
      <c r="G52" s="99" t="n"/>
      <c r="H52" s="99" t="n"/>
      <c r="I52" s="99" t="n"/>
    </row>
    <row r="53" ht="24" customHeight="1" s="34">
      <c r="A53" s="99" t="n"/>
      <c r="B53" s="99" t="n"/>
      <c r="C53" s="99" t="n"/>
      <c r="D53" s="99" t="n"/>
      <c r="E53" s="99" t="n"/>
      <c r="F53" s="99" t="n"/>
      <c r="G53" s="99" t="n"/>
      <c r="H53" s="99" t="n"/>
      <c r="I53" s="99" t="n"/>
    </row>
    <row r="54" ht="24" customHeight="1" s="34">
      <c r="A54" s="99" t="n"/>
      <c r="B54" s="99" t="n"/>
      <c r="C54" s="99" t="n"/>
      <c r="D54" s="99" t="n"/>
      <c r="E54" s="99" t="n"/>
      <c r="F54" s="99" t="n"/>
      <c r="G54" s="99" t="n"/>
      <c r="H54" s="99" t="n"/>
      <c r="I54" s="99" t="n"/>
    </row>
    <row r="55" ht="24" customHeight="1" s="34">
      <c r="A55" s="99" t="n"/>
      <c r="B55" s="99" t="n"/>
      <c r="C55" s="99" t="n"/>
      <c r="D55" s="99" t="n"/>
      <c r="E55" s="99" t="n"/>
      <c r="F55" s="99" t="n"/>
      <c r="G55" s="99" t="n"/>
      <c r="H55" s="99" t="n"/>
      <c r="I55" s="99" t="n"/>
    </row>
    <row r="56" ht="24" customHeight="1" s="34">
      <c r="A56" s="99" t="n"/>
      <c r="B56" s="99" t="n"/>
      <c r="C56" s="99" t="n"/>
      <c r="D56" s="99" t="n"/>
      <c r="E56" s="99" t="n"/>
      <c r="F56" s="99" t="n"/>
      <c r="G56" s="99" t="n"/>
      <c r="H56" s="99" t="n"/>
      <c r="I56" s="99" t="n"/>
    </row>
    <row r="57" ht="24" customHeight="1" s="34">
      <c r="A57" s="99" t="n"/>
      <c r="B57" s="99" t="n"/>
      <c r="C57" s="99" t="n"/>
      <c r="D57" s="99" t="n"/>
      <c r="E57" s="99" t="n"/>
      <c r="F57" s="99" t="n"/>
      <c r="G57" s="99" t="n"/>
      <c r="H57" s="99" t="n"/>
      <c r="I57" s="99" t="n"/>
    </row>
    <row r="58" ht="24" customHeight="1" s="34">
      <c r="A58" s="99" t="n"/>
      <c r="B58" s="99" t="n"/>
      <c r="C58" s="99" t="n"/>
      <c r="D58" s="99" t="n"/>
      <c r="E58" s="99" t="n"/>
      <c r="F58" s="99" t="n"/>
      <c r="G58" s="99" t="n"/>
      <c r="H58" s="99" t="n"/>
      <c r="I58" s="99" t="n"/>
    </row>
    <row r="59" ht="24" customHeight="1" s="34">
      <c r="A59" s="99" t="n"/>
      <c r="B59" s="99" t="n"/>
      <c r="C59" s="99" t="n"/>
      <c r="D59" s="99" t="n"/>
      <c r="E59" s="99" t="n"/>
      <c r="F59" s="99" t="n"/>
      <c r="G59" s="99" t="n"/>
      <c r="H59" s="99" t="n"/>
      <c r="I59" s="99" t="n"/>
    </row>
    <row r="60" ht="24" customHeight="1" s="34">
      <c r="A60" s="99" t="n"/>
      <c r="B60" s="99" t="n"/>
      <c r="C60" s="99" t="n"/>
      <c r="D60" s="99" t="n"/>
      <c r="E60" s="99" t="n"/>
      <c r="F60" s="99" t="n"/>
      <c r="G60" s="99" t="n"/>
      <c r="H60" s="99" t="n"/>
      <c r="I60" s="99" t="n"/>
    </row>
    <row r="61" ht="24" customHeight="1" s="34">
      <c r="A61" s="99" t="n"/>
      <c r="B61" s="99" t="n"/>
      <c r="C61" s="99" t="n"/>
      <c r="D61" s="99" t="n"/>
      <c r="E61" s="99" t="n"/>
      <c r="F61" s="99" t="n"/>
      <c r="G61" s="99" t="n"/>
      <c r="H61" s="99" t="n"/>
      <c r="I61" s="99" t="n"/>
    </row>
    <row r="62" ht="24" customHeight="1" s="34">
      <c r="A62" s="99" t="n"/>
      <c r="B62" s="99" t="n"/>
      <c r="C62" s="99" t="n"/>
      <c r="D62" s="99" t="n"/>
      <c r="E62" s="99" t="n"/>
      <c r="F62" s="99" t="n"/>
      <c r="G62" s="99" t="n"/>
      <c r="H62" s="99" t="n"/>
      <c r="I62" s="99" t="n"/>
    </row>
    <row r="63" ht="24" customHeight="1" s="34">
      <c r="A63" s="99" t="n"/>
      <c r="B63" s="99" t="n"/>
      <c r="C63" s="99" t="n"/>
      <c r="D63" s="99" t="n"/>
      <c r="E63" s="99" t="n"/>
      <c r="F63" s="99" t="n"/>
      <c r="G63" s="99" t="n"/>
      <c r="H63" s="99" t="n"/>
      <c r="I63" s="99" t="n"/>
    </row>
    <row r="64" ht="24" customHeight="1" s="34">
      <c r="A64" s="99" t="n"/>
      <c r="B64" s="99" t="n"/>
      <c r="C64" s="99" t="n"/>
      <c r="D64" s="99" t="n"/>
      <c r="E64" s="99" t="n"/>
      <c r="F64" s="99" t="n"/>
      <c r="G64" s="99" t="n"/>
      <c r="H64" s="99" t="n"/>
      <c r="I64" s="99" t="n"/>
    </row>
  </sheetData>
  <mergeCells count="35">
    <mergeCell ref="C16:E16"/>
    <mergeCell ref="C44:E44"/>
    <mergeCell ref="C47:E47"/>
    <mergeCell ref="B6:E6"/>
    <mergeCell ref="C9:E9"/>
    <mergeCell ref="C43:E43"/>
    <mergeCell ref="C12:E12"/>
    <mergeCell ref="C46:E46"/>
    <mergeCell ref="B32:E32"/>
    <mergeCell ref="B41:E41"/>
    <mergeCell ref="C11:E11"/>
    <mergeCell ref="C36:E36"/>
    <mergeCell ref="B4:E4"/>
    <mergeCell ref="C39:E39"/>
    <mergeCell ref="C8:E8"/>
    <mergeCell ref="C48:E48"/>
    <mergeCell ref="C17:E17"/>
    <mergeCell ref="B3:E3"/>
    <mergeCell ref="C38:E38"/>
    <mergeCell ref="B27:E27"/>
    <mergeCell ref="C13:E13"/>
    <mergeCell ref="C37:E37"/>
    <mergeCell ref="C49:E49"/>
    <mergeCell ref="B2:E2"/>
    <mergeCell ref="C30:E30"/>
    <mergeCell ref="C34:E34"/>
    <mergeCell ref="C15:E15"/>
    <mergeCell ref="C42:E42"/>
    <mergeCell ref="C33:E33"/>
    <mergeCell ref="C14:E14"/>
    <mergeCell ref="C45:E45"/>
    <mergeCell ref="B19:E19"/>
    <mergeCell ref="C29:E29"/>
    <mergeCell ref="C35:E35"/>
    <mergeCell ref="C10:E10"/>
  </mergeCells>
  <printOptions gridLines="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E24"/>
  <sheetViews>
    <sheetView topLeftCell="A8" workbookViewId="0">
      <selection activeCell="C16" sqref="C16"/>
    </sheetView>
  </sheetViews>
  <sheetFormatPr baseColWidth="8" defaultRowHeight="14.4" outlineLevelCol="0"/>
  <cols>
    <col width="4.6640625" customWidth="1" style="34" min="1" max="1"/>
    <col width="24.6640625" customWidth="1" style="34" min="2" max="2"/>
    <col width="45.6640625" customWidth="1" style="34" min="3" max="3"/>
    <col width="20.6640625" customWidth="1" style="34" min="4" max="4"/>
    <col width="30.6640625" customWidth="1" style="34" min="5" max="5"/>
  </cols>
  <sheetData>
    <row r="2" ht="27" customHeight="1" s="34">
      <c r="B2" s="37" t="inlineStr">
        <is>
          <t>CHIẾN LƯỢC &amp; QUY TRÌNH KIỂM THỬ (TEST STRATEGY)</t>
        </is>
      </c>
    </row>
    <row r="3" ht="16.8" customHeight="1" s="34">
      <c r="B3" s="35" t="inlineStr">
        <is>
          <t>Quy ước, Môi trường thử nghiệm và Tiêu chí nghiệm thu</t>
        </is>
      </c>
    </row>
    <row r="5" ht="16.8" customHeight="1" s="34">
      <c r="B5" s="33" t="inlineStr">
        <is>
          <t>1. MÔI TRƯỜNG KIỂM THỬ (TEST ENVIRONMENTS)</t>
        </is>
      </c>
    </row>
    <row r="7" ht="15" customHeight="1" s="34">
      <c r="B7" s="1" t="inlineStr">
        <is>
          <t>Thiết bị Web Client:</t>
        </is>
      </c>
      <c r="C7" s="30" t="inlineStr">
        <is>
          <t>Google Chrome (v155+), Microsoft Edge (v156+), Mozilla Firefox</t>
        </is>
      </c>
      <c r="D7" s="31" t="n"/>
      <c r="E7" s="32" t="n"/>
    </row>
    <row r="8" ht="15" customHeight="1" s="34">
      <c r="B8" s="1" t="inlineStr">
        <is>
          <t>Thiết bị Mobile Client:</t>
        </is>
      </c>
      <c r="C8" s="30" t="inlineStr">
        <is>
          <t>Điện thoại thật Android (Oppo/Realme CPH2801 - Android 14/15/16) + Máy ảo Pixel Android</t>
        </is>
      </c>
      <c r="D8" s="31" t="n"/>
      <c r="E8" s="32" t="n"/>
    </row>
    <row r="9" ht="15" customHeight="1" s="34">
      <c r="B9" s="1" t="inlineStr">
        <is>
          <t>Máy chủ Backend:</t>
        </is>
      </c>
      <c r="C9" s="30" t="inlineStr">
        <is>
          <t>ASP.NET Core 9 Web API &amp; SignalR Hub (Chạy tại http://localhost:5000)</t>
        </is>
      </c>
      <c r="D9" s="31" t="n"/>
      <c r="E9" s="32" t="n"/>
    </row>
    <row r="10" ht="15" customHeight="1" s="34">
      <c r="B10" s="1" t="inlineStr">
        <is>
          <t>Cơ sở dữ liệu:</t>
        </is>
      </c>
      <c r="C10" s="30" t="inlineStr">
        <is>
          <t>SQLite Database (Entity Framework Core 9 Code-First with Migrations)</t>
        </is>
      </c>
      <c r="D10" s="31" t="n"/>
      <c r="E10" s="32" t="n"/>
    </row>
    <row r="11" ht="15" customHeight="1" s="34">
      <c r="B11" s="1" t="inlineStr">
        <is>
          <t>Độ phân giải màn hình test:</t>
        </is>
      </c>
      <c r="C11" s="30" t="inlineStr">
        <is>
          <t>Desktop: 1920x1080, 1366x768 | Mobile: 390x844 (iPhone), 412x915 (Android), Tablet</t>
        </is>
      </c>
      <c r="D11" s="31" t="n"/>
      <c r="E11" s="32" t="n"/>
    </row>
    <row r="12" ht="16.8" customHeight="1" s="34">
      <c r="B12" s="33" t="inlineStr">
        <is>
          <t>2. ĐỊNH NGHĨA MỨC ĐỘ ƯU TIÊN (PRIORITY)</t>
        </is>
      </c>
    </row>
    <row r="14">
      <c r="B14" s="27" t="inlineStr">
        <is>
          <t>Mức độ</t>
        </is>
      </c>
      <c r="C14" s="27" t="inlineStr">
        <is>
          <t>Tên quy ước</t>
        </is>
      </c>
      <c r="D14" s="27" t="inlineStr">
        <is>
          <t>Mô tả chi tiết</t>
        </is>
      </c>
      <c r="E14" s="27" t="inlineStr">
        <is>
          <t>Yêu cầu xử lý</t>
        </is>
      </c>
    </row>
    <row r="15" ht="69" customHeight="1" s="34">
      <c r="B15" s="19" t="inlineStr">
        <is>
          <t>High</t>
        </is>
      </c>
      <c r="C15" s="20" t="inlineStr">
        <is>
          <t>P1 - Blocker / Critical</t>
        </is>
      </c>
      <c r="D15" s="38" t="inlineStr">
        <is>
          <t>Lỗi nghiêm trọng làm sập hệ thống (Crash), sai luật cờ căn bản, không thể đăng nhập hoặc vỡ ván cờ</t>
        </is>
      </c>
      <c r="E15" s="38" t="inlineStr">
        <is>
          <t>Bắt buộc sửa ngay lập tức trước khi phát hành</t>
        </is>
      </c>
    </row>
    <row r="16" ht="82.8" customHeight="1" s="34">
      <c r="B16" s="19" t="inlineStr">
        <is>
          <t>Medium</t>
        </is>
      </c>
      <c r="C16" s="20" t="inlineStr">
        <is>
          <t>P2 - Major</t>
        </is>
      </c>
      <c r="D16" s="38" t="inlineStr">
        <is>
          <t>Lỗi chức năng quan trọng nhưng có phương án thay thế, tính điểm Elo sai lệch nhỏ, timeout chưa kích hoạt đúng</t>
        </is>
      </c>
      <c r="E16" s="38" t="inlineStr">
        <is>
          <t>Cần khắc phục trong đợt cập nhật chính</t>
        </is>
      </c>
    </row>
    <row r="17" ht="69" customHeight="1" s="34">
      <c r="B17" s="19" t="inlineStr">
        <is>
          <t>Low</t>
        </is>
      </c>
      <c r="C17" s="20" t="inlineStr">
        <is>
          <t>P3 - Minor / Trivial</t>
        </is>
      </c>
      <c r="D17" s="38" t="inlineStr">
        <is>
          <t>Lỗi giao diện (UI), lệch màu, cỡ chữ nhỏ, thiếu hiệu ứng âm thanh phụ hoặc câu từ chú thích chưa đẹp</t>
        </is>
      </c>
      <c r="E17" s="38" t="inlineStr">
        <is>
          <t>Có thể cải tiến và hoàn thiện dần</t>
        </is>
      </c>
    </row>
    <row r="18">
      <c r="B18" s="41" t="inlineStr">
        <is>
          <t>3. ĐỊNH NGHĨA TRẠNG THÁI KIỂM THỬ (TEST STATUS)</t>
        </is>
      </c>
    </row>
    <row r="20" ht="15" customHeight="1" s="34">
      <c r="B20" s="39" t="inlineStr">
        <is>
          <t>Trạng thái</t>
        </is>
      </c>
      <c r="C20" s="39" t="inlineStr">
        <is>
          <t>Ý nghĩa</t>
        </is>
      </c>
      <c r="D20" s="39" t="inlineStr">
        <is>
          <t>Hướng dẫn cho Tester khi điền</t>
        </is>
      </c>
      <c r="E20" s="40" t="n"/>
    </row>
    <row r="21" ht="15" customHeight="1" s="34">
      <c r="B21" s="4" t="inlineStr">
        <is>
          <t>Pass</t>
        </is>
      </c>
      <c r="C21" s="1" t="inlineStr">
        <is>
          <t>Kiểm thử thành công, kết quả thực tế đúng 100% kết quả mong đợi</t>
        </is>
      </c>
      <c r="D21" s="30" t="inlineStr">
        <is>
          <t>Chọn 'Pass' trong menu dropdown cột Trạng thái</t>
        </is>
      </c>
      <c r="E21" s="32" t="n"/>
    </row>
    <row r="22" ht="15" customHeight="1" s="34">
      <c r="B22" s="4" t="inlineStr">
        <is>
          <t>Fail</t>
        </is>
      </c>
      <c r="C22" s="1" t="inlineStr">
        <is>
          <t>Kết quả thực tế sai khác kết quả mong đợi hoặc phát sinh lỗi</t>
        </is>
      </c>
      <c r="D22" s="30" t="inlineStr">
        <is>
          <t>Chọn 'Fail', mô tả chi tiết lỗi ở cột Kết quả thực tế và ghi mã Bug vào Sheet 12_Defect_Log</t>
        </is>
      </c>
      <c r="E22" s="32" t="n"/>
    </row>
    <row r="23" ht="15" customHeight="1" s="34">
      <c r="B23" s="4" t="inlineStr">
        <is>
          <t>Blocked</t>
        </is>
      </c>
      <c r="C23" s="1" t="inlineStr">
        <is>
          <t>Không thể kiểm thử do phụ thuộc vào một lỗi nghiêm trọng khác</t>
        </is>
      </c>
      <c r="D23" s="30" t="inlineStr">
        <is>
          <t>Chọn 'Blocked' và ghi rõ nguyên nhân bị chặn ở cột Ghi chú</t>
        </is>
      </c>
      <c r="E23" s="32" t="n"/>
    </row>
    <row r="24" ht="15" customHeight="1" s="34">
      <c r="B24" s="4" t="inlineStr">
        <is>
          <t>Untested</t>
        </is>
      </c>
      <c r="C24" s="1" t="inlineStr">
        <is>
          <t>Chưa thực hiện kiểm thử</t>
        </is>
      </c>
      <c r="D24" s="30" t="inlineStr">
        <is>
          <t>Mặc định để trống hoặc chọn Untested</t>
        </is>
      </c>
      <c r="E24" s="32" t="n"/>
    </row>
  </sheetData>
  <mergeCells count="15">
    <mergeCell ref="D20:E20"/>
    <mergeCell ref="B18:E18"/>
    <mergeCell ref="C11:E11"/>
    <mergeCell ref="C10:E10"/>
    <mergeCell ref="D24:E24"/>
    <mergeCell ref="B12:E12"/>
    <mergeCell ref="C8:E8"/>
    <mergeCell ref="C9:E9"/>
    <mergeCell ref="D23:E23"/>
    <mergeCell ref="B3:E3"/>
    <mergeCell ref="D22:E22"/>
    <mergeCell ref="B2:E2"/>
    <mergeCell ref="B5:E5"/>
    <mergeCell ref="C7:E7"/>
    <mergeCell ref="D21:E21"/>
  </mergeCells>
  <printOptions gridLines="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J33"/>
  <sheetViews>
    <sheetView workbookViewId="0">
      <selection activeCell="C7" sqref="C7"/>
    </sheetView>
  </sheetViews>
  <sheetFormatPr baseColWidth="8" defaultRowHeight="14.4" outlineLevelCol="0"/>
  <cols>
    <col width="4.6640625" customWidth="1" style="34" min="1" max="1"/>
    <col width="6.6640625" customWidth="1" style="34" min="2" max="2"/>
    <col width="28.6640625" customWidth="1" style="34" min="3" max="3"/>
    <col width="32.6640625" customWidth="1" style="34" min="4" max="4"/>
    <col width="14.6640625" customWidth="1" style="34" min="5" max="9"/>
    <col width="16.6640625" customWidth="1" style="34" min="10" max="10"/>
  </cols>
  <sheetData>
    <row r="2" ht="25.95" customHeight="1" s="34">
      <c r="B2" s="37" t="inlineStr">
        <is>
          <t>BẢNG ĐIỀU KHIỂN TỔNG HỢP TIẾN ĐỘ &amp; KẾT QUẢ KIỂM THỬ (TEST SUMMARY DASHBOARD)</t>
        </is>
      </c>
    </row>
    <row r="3" ht="18" customHeight="1" s="34">
      <c r="B3" s="35" t="inlineStr">
        <is>
          <t>Dữ liệu kiểm thử thực tế từ 2 chu kỳ: Chu kỳ 1 (Commit: 52885c7 - 26/10/2026 | Test: 27/10/2026 21:46:44) &amp; Chu kỳ 2 (Commit: 935656d - Thu Oct 29 00:11:06 2026 +0700 | Retest: 29/10/2026 00:27:49 (UTC+7))</t>
        </is>
      </c>
    </row>
    <row r="5" ht="19.95" customHeight="1" s="34">
      <c r="C5" s="51" t="inlineStr">
        <is>
          <t>TỔNG SỐ TEST CASE</t>
        </is>
      </c>
      <c r="D5" s="52" t="n"/>
      <c r="E5" s="55" t="inlineStr">
        <is>
          <t>ĐÃ ĐẠT (PASSED)</t>
        </is>
      </c>
      <c r="F5" s="56" t="n"/>
      <c r="G5" s="53" t="inlineStr">
        <is>
          <t>THẤT BẠI (FAILED)</t>
        </is>
      </c>
      <c r="H5" s="54" t="n"/>
      <c r="I5" s="57" t="inlineStr">
        <is>
          <t>TỶ LỆ HOÀN THÀNH (%)</t>
        </is>
      </c>
      <c r="J5" s="58" t="n"/>
    </row>
    <row r="6" ht="36" customHeight="1" s="34">
      <c r="C6" s="45" t="n">
        <v>137</v>
      </c>
      <c r="D6" s="46" t="n"/>
      <c r="E6" s="49" t="n">
        <v>137</v>
      </c>
      <c r="F6" s="50" t="n"/>
      <c r="G6" s="59" t="n">
        <v>0</v>
      </c>
      <c r="H6" s="60" t="n"/>
      <c r="I6" s="47" t="inlineStr">
        <is>
          <t>100.0%</t>
        </is>
      </c>
      <c r="J6" s="48" t="n"/>
    </row>
    <row r="7">
      <c r="C7" s="26" t="n"/>
    </row>
    <row r="8" ht="16.8" customHeight="1" s="34">
      <c r="B8" s="33" t="inlineStr">
        <is>
          <t>TIẾN ĐỘ THỰC HIỆN THEO TỪNG PHÂN HỆ</t>
        </is>
      </c>
    </row>
    <row r="10" ht="25.95" customHeight="1" s="34">
      <c r="B10" s="39" t="inlineStr">
        <is>
          <t>STT</t>
        </is>
      </c>
      <c r="C10" s="39" t="inlineStr">
        <is>
          <t>Tên Sheet Kiểm thử</t>
        </is>
      </c>
      <c r="D10" s="39" t="inlineStr">
        <is>
          <t>Phân hệ Nghiệp vụ</t>
        </is>
      </c>
      <c r="E10" s="39" t="inlineStr">
        <is>
          <t>Tổng số TC</t>
        </is>
      </c>
      <c r="F10" s="39" t="inlineStr">
        <is>
          <t>Đạt (Pass)</t>
        </is>
      </c>
      <c r="G10" s="39" t="inlineStr">
        <is>
          <t>Lỗi (Fail)</t>
        </is>
      </c>
      <c r="H10" s="39" t="inlineStr">
        <is>
          <t>Bị chặn (Blocked)</t>
        </is>
      </c>
      <c r="I10" s="39" t="inlineStr">
        <is>
          <t>Chưa test (Untested)</t>
        </is>
      </c>
      <c r="J10" s="39" t="inlineStr">
        <is>
          <t>Tỷ lệ Pass (%)</t>
        </is>
      </c>
    </row>
    <row r="11" ht="24" customHeight="1" s="34">
      <c r="B11" s="4" t="n">
        <v>1</v>
      </c>
      <c r="C11" s="1" t="inlineStr">
        <is>
          <t>04_TC_Auth_Profile</t>
        </is>
      </c>
      <c r="D11" s="30" t="inlineStr">
        <is>
          <t>Xác thực &amp; Tài khoản người dùng</t>
        </is>
      </c>
      <c r="E11" s="5" t="n">
        <v>17</v>
      </c>
      <c r="F11" s="5" t="n">
        <v>11</v>
      </c>
      <c r="G11" s="5" t="n">
        <v>6</v>
      </c>
      <c r="H11" s="5">
        <f>COUNTIF('04_TC_Auth_Profile'!J5:J21, "Blocked")</f>
        <v/>
      </c>
      <c r="I11" s="5">
        <f>E11-F11-G11-H11</f>
        <v/>
      </c>
      <c r="J11" s="6">
        <f>IF(E11&gt;0, F11/E11, 0)</f>
        <v/>
      </c>
    </row>
    <row r="12" ht="24" customHeight="1" s="34">
      <c r="B12" s="4" t="n">
        <v>2</v>
      </c>
      <c r="C12" s="1" t="inlineStr">
        <is>
          <t>05_TC_Chess_Rules</t>
        </is>
      </c>
      <c r="D12" s="30" t="inlineStr">
        <is>
          <t>Bộ luật &amp; Engine cờ tướng</t>
        </is>
      </c>
      <c r="E12" s="5" t="n">
        <v>26</v>
      </c>
      <c r="F12" s="5">
        <f>COUNTIF('05_TC_Chess_Rules'!J5:J30, "Pass")</f>
        <v/>
      </c>
      <c r="G12" s="5">
        <f>COUNTIF('05_TC_Chess_Rules'!J5:J30, "Fail")</f>
        <v/>
      </c>
      <c r="H12" s="5">
        <f>COUNTIF('05_TC_Chess_Rules'!J5:J30, "Blocked")</f>
        <v/>
      </c>
      <c r="I12" s="5">
        <f>E12-F12-G12-H12</f>
        <v/>
      </c>
      <c r="J12" s="6">
        <f>IF(E12&gt;0, F12/E12, 0)</f>
        <v/>
      </c>
    </row>
    <row r="13" ht="24" customHeight="1" s="34">
      <c r="B13" s="4" t="n">
        <v>3</v>
      </c>
      <c r="C13" s="1" t="inlineStr">
        <is>
          <t>06_TC_Game_Play</t>
        </is>
      </c>
      <c r="D13" s="30" t="inlineStr">
        <is>
          <t>Chế độ chơi &amp; Đấu máy AI</t>
        </is>
      </c>
      <c r="E13" s="5" t="n">
        <v>18</v>
      </c>
      <c r="F13" s="5" t="n">
        <v>16</v>
      </c>
      <c r="G13" s="5" t="n">
        <v>2</v>
      </c>
      <c r="H13" s="5">
        <f>COUNTIF('06_TC_Game_Play'!J5:J22, "Blocked")</f>
        <v/>
      </c>
      <c r="I13" s="5">
        <f>E13-F13-G13-H13</f>
        <v/>
      </c>
      <c r="J13" s="6">
        <f>IF(E13&gt;0, F13/E13, 0)</f>
        <v/>
      </c>
    </row>
    <row r="14" ht="24" customHeight="1" s="34">
      <c r="B14" s="4" t="n">
        <v>4</v>
      </c>
      <c r="C14" s="1" t="inlineStr">
        <is>
          <t>07_TC_Online_SignalR</t>
        </is>
      </c>
      <c r="D14" s="30" t="inlineStr">
        <is>
          <t>Đấu trực tuyến Realtime SignalR</t>
        </is>
      </c>
      <c r="E14" s="5" t="n">
        <v>20</v>
      </c>
      <c r="F14" s="5" t="n">
        <v>18</v>
      </c>
      <c r="G14" s="5" t="n">
        <v>2</v>
      </c>
      <c r="H14" s="5">
        <f>COUNTIF('07_TC_Online_SignalR'!J5:J24, "Blocked")</f>
        <v/>
      </c>
      <c r="I14" s="5">
        <f>E14-F14-G14-H14</f>
        <v/>
      </c>
      <c r="J14" s="6">
        <f>IF(E14&gt;0, F14/E14, 0)</f>
        <v/>
      </c>
    </row>
    <row r="15" ht="24" customHeight="1" s="34">
      <c r="B15" s="4" t="n">
        <v>5</v>
      </c>
      <c r="C15" s="1" t="inlineStr">
        <is>
          <t>08_TC_Puzzle_Cothe</t>
        </is>
      </c>
      <c r="D15" s="30" t="inlineStr">
        <is>
          <t>Hệ thống Cờ thế &amp; Timerush</t>
        </is>
      </c>
      <c r="E15" s="5" t="n">
        <v>16</v>
      </c>
      <c r="F15" s="5">
        <f>COUNTIF('08_TC_Puzzle_Cothe'!J5:J20, "Pass")</f>
        <v/>
      </c>
      <c r="G15" s="5">
        <f>COUNTIF('08_TC_Puzzle_Cothe'!J5:J20, "Fail")</f>
        <v/>
      </c>
      <c r="H15" s="5">
        <f>COUNTIF('08_TC_Puzzle_Cothe'!J5:J20, "Blocked")</f>
        <v/>
      </c>
      <c r="I15" s="5">
        <f>E15-F15-G15-H15</f>
        <v/>
      </c>
      <c r="J15" s="6">
        <f>IF(E15&gt;0, F15/E15, 0)</f>
        <v/>
      </c>
    </row>
    <row r="16" ht="24" customHeight="1" s="34">
      <c r="B16" s="4" t="n">
        <v>6</v>
      </c>
      <c r="C16" s="1" t="inlineStr">
        <is>
          <t>09_TC_Course_Master</t>
        </is>
      </c>
      <c r="D16" s="30" t="inlineStr">
        <is>
          <t>Học viện &amp; Kỳ phổ danh thủ</t>
        </is>
      </c>
      <c r="E16" s="5" t="n">
        <v>16</v>
      </c>
      <c r="F16" s="5" t="n">
        <v>13</v>
      </c>
      <c r="G16" s="5" t="n">
        <v>3</v>
      </c>
      <c r="H16" s="5">
        <f>COUNTIF('09_TC_Course_Master'!J5:J20, "Blocked")</f>
        <v/>
      </c>
      <c r="I16" s="5">
        <f>E16-F16-G16-H16</f>
        <v/>
      </c>
      <c r="J16" s="6">
        <f>IF(E16&gt;0, F16/E16, 0)</f>
        <v/>
      </c>
    </row>
    <row r="17" ht="24" customHeight="1" s="34">
      <c r="B17" s="4" t="n">
        <v>7</v>
      </c>
      <c r="C17" s="1" t="inlineStr">
        <is>
          <t>10_TC_Admin_System</t>
        </is>
      </c>
      <c r="D17" s="30" t="inlineStr">
        <is>
          <t>Phân hệ Quản trị viên (Admin)</t>
        </is>
      </c>
      <c r="E17" s="5" t="n">
        <v>12</v>
      </c>
      <c r="F17" s="5" t="n">
        <v>8</v>
      </c>
      <c r="G17" s="5" t="n">
        <v>4</v>
      </c>
      <c r="H17" s="5">
        <f>COUNTIF('10_TC_Admin_System'!J5:J16, "Blocked")</f>
        <v/>
      </c>
      <c r="I17" s="5">
        <f>E17-F17-G17-H17</f>
        <v/>
      </c>
      <c r="J17" s="6">
        <f>IF(E17&gt;0, F17/E17, 0)</f>
        <v/>
      </c>
    </row>
    <row r="18" ht="24" customHeight="1" s="34">
      <c r="B18" s="4" t="n">
        <v>8</v>
      </c>
      <c r="C18" s="1" t="inlineStr">
        <is>
          <t>11_TC_Mobile_Specific</t>
        </is>
      </c>
      <c r="D18" s="30" t="inlineStr">
        <is>
          <t>Đặc thù Ứng dụng Di động</t>
        </is>
      </c>
      <c r="E18" s="5" t="n">
        <v>12</v>
      </c>
      <c r="F18" s="5">
        <f>COUNTIF('11_TC_Mobile_Specific'!J5:J16, "Pass")</f>
        <v/>
      </c>
      <c r="G18" s="5">
        <f>COUNTIF('11_TC_Mobile_Specific'!J5:J16, "Fail")</f>
        <v/>
      </c>
      <c r="H18" s="5">
        <f>COUNTIF('11_TC_Mobile_Specific'!J5:J16, "Blocked")</f>
        <v/>
      </c>
      <c r="I18" s="5">
        <f>E18-F18-G18-H18</f>
        <v/>
      </c>
      <c r="J18" s="6">
        <f>IF(E18&gt;0, F18/E18, 0)</f>
        <v/>
      </c>
    </row>
    <row r="19" ht="28.05" customHeight="1" s="34">
      <c r="B19" s="42" t="inlineStr">
        <is>
          <t>TỔNG CỘNG TOÀN BỘ HỆ THỐNG</t>
        </is>
      </c>
      <c r="C19" s="43" t="n"/>
      <c r="D19" s="44" t="n"/>
      <c r="E19" s="42" t="n">
        <v>137</v>
      </c>
      <c r="F19" s="42" t="n">
        <v>120</v>
      </c>
      <c r="G19" s="42" t="n">
        <v>17</v>
      </c>
      <c r="H19" s="42">
        <f>SUM(H11:H18)</f>
        <v/>
      </c>
      <c r="I19" s="42">
        <f>SUM(I11:I18)</f>
        <v/>
      </c>
      <c r="J19" s="8">
        <f>IF(E19&gt;0, F19/E19, 0)</f>
        <v/>
      </c>
    </row>
    <row r="22" ht="26" customHeight="1" s="34">
      <c r="B22" s="95" t="inlineStr">
        <is>
          <t>BẢNG ĐỐI CHIẾU TIẾN ĐỘ &amp; KẾT QUẢ GIỮA 2 CHU KỲ KIỂM THỬ (ROUND 1 vs ROUND 2)</t>
        </is>
      </c>
    </row>
    <row r="24" ht="28" customHeight="1" s="34">
      <c r="B24" s="96" t="inlineStr">
        <is>
          <t>STT</t>
        </is>
      </c>
      <c r="C24" s="96" t="inlineStr">
        <is>
          <t>Phân hệ Kiểm thử</t>
        </is>
      </c>
      <c r="D24" s="96" t="inlineStr">
        <is>
          <t>Tổng số TC</t>
        </is>
      </c>
      <c r="E24" s="96" t="inlineStr">
        <is>
          <t>Đạt Lần 1 (R1 Pass)</t>
        </is>
      </c>
      <c r="F24" s="96" t="inlineStr">
        <is>
          <t>Lỗi Lần 1 (R1 Fail)</t>
        </is>
      </c>
      <c r="G24" s="96" t="inlineStr">
        <is>
          <t>Đạt Lần 2 (R2 Pass)</t>
        </is>
      </c>
      <c r="H24" s="96" t="inlineStr">
        <is>
          <t>Lỗi Lần 2 (R2 Fail)</t>
        </is>
      </c>
      <c r="I24" s="96" t="inlineStr">
        <is>
          <t>Tỷ lệ Hồi quy (Regression)</t>
        </is>
      </c>
    </row>
    <row r="25" ht="24" customHeight="1" s="34">
      <c r="B25" s="128" t="n">
        <v>1</v>
      </c>
      <c r="C25" s="129" t="inlineStr">
        <is>
          <t>04_TC_Auth_Profile (Xác thực &amp; Tài khoản)</t>
        </is>
      </c>
      <c r="D25" s="128" t="n">
        <v>17</v>
      </c>
      <c r="E25" s="128" t="n">
        <v>11</v>
      </c>
      <c r="F25" s="130" t="n">
        <v>6</v>
      </c>
      <c r="G25" s="131" t="n">
        <v>17</v>
      </c>
      <c r="H25" s="128" t="n">
        <v>0</v>
      </c>
      <c r="I25" s="131" t="inlineStr">
        <is>
          <t>0% (Đã fix 6 lỗi)</t>
        </is>
      </c>
    </row>
    <row r="26" ht="24" customHeight="1" s="34">
      <c r="B26" s="128" t="n">
        <v>2</v>
      </c>
      <c r="C26" s="129" t="inlineStr">
        <is>
          <t>05_TC_Chess_Rules (Luật cờ &amp; Engine)</t>
        </is>
      </c>
      <c r="D26" s="128" t="n">
        <v>26</v>
      </c>
      <c r="E26" s="128" t="n">
        <v>26</v>
      </c>
      <c r="F26" s="128" t="n">
        <v>0</v>
      </c>
      <c r="G26" s="131" t="n">
        <v>26</v>
      </c>
      <c r="H26" s="128" t="n">
        <v>0</v>
      </c>
      <c r="I26" s="131" t="inlineStr">
        <is>
          <t>0% (Không hồi quy)</t>
        </is>
      </c>
    </row>
    <row r="27" ht="24" customHeight="1" s="34">
      <c r="B27" s="128" t="n">
        <v>3</v>
      </c>
      <c r="C27" s="129" t="inlineStr">
        <is>
          <t>06_TC_Game_Play (Chế độ chơi &amp; AI)</t>
        </is>
      </c>
      <c r="D27" s="128" t="n">
        <v>18</v>
      </c>
      <c r="E27" s="128" t="n">
        <v>16</v>
      </c>
      <c r="F27" s="130" t="n">
        <v>2</v>
      </c>
      <c r="G27" s="131" t="n">
        <v>18</v>
      </c>
      <c r="H27" s="128" t="n">
        <v>0</v>
      </c>
      <c r="I27" s="131" t="inlineStr">
        <is>
          <t>0% (Đã fix 2 lỗi)</t>
        </is>
      </c>
    </row>
    <row r="28" ht="24" customHeight="1" s="34">
      <c r="B28" s="128" t="n">
        <v>4</v>
      </c>
      <c r="C28" s="129" t="inlineStr">
        <is>
          <t>07_TC_Online_SignalR (Đấu Online Realtime)</t>
        </is>
      </c>
      <c r="D28" s="128" t="n">
        <v>20</v>
      </c>
      <c r="E28" s="128" t="n">
        <v>18</v>
      </c>
      <c r="F28" s="130" t="n">
        <v>2</v>
      </c>
      <c r="G28" s="131" t="n">
        <v>20</v>
      </c>
      <c r="H28" s="128" t="n">
        <v>0</v>
      </c>
      <c r="I28" s="131" t="inlineStr">
        <is>
          <t>0% (Đã fix 2 lỗi)</t>
        </is>
      </c>
    </row>
    <row r="29" ht="24" customHeight="1" s="34">
      <c r="B29" s="128" t="n">
        <v>5</v>
      </c>
      <c r="C29" s="129" t="inlineStr">
        <is>
          <t>08_TC_Puzzle_Cothe (Cờ thế &amp; Timerush)</t>
        </is>
      </c>
      <c r="D29" s="128" t="n">
        <v>16</v>
      </c>
      <c r="E29" s="128" t="n">
        <v>16</v>
      </c>
      <c r="F29" s="128" t="n">
        <v>0</v>
      </c>
      <c r="G29" s="131" t="n">
        <v>16</v>
      </c>
      <c r="H29" s="128" t="n">
        <v>0</v>
      </c>
      <c r="I29" s="131" t="inlineStr">
        <is>
          <t>0% (Không hồi quy)</t>
        </is>
      </c>
    </row>
    <row r="30" ht="24" customHeight="1" s="34">
      <c r="B30" s="128" t="n">
        <v>6</v>
      </c>
      <c r="C30" s="129" t="inlineStr">
        <is>
          <t>09_TC_Course_Master (Học viện &amp; Kỳ phổ)</t>
        </is>
      </c>
      <c r="D30" s="128" t="n">
        <v>16</v>
      </c>
      <c r="E30" s="128" t="n">
        <v>13</v>
      </c>
      <c r="F30" s="130" t="n">
        <v>3</v>
      </c>
      <c r="G30" s="131" t="n">
        <v>16</v>
      </c>
      <c r="H30" s="128" t="n">
        <v>0</v>
      </c>
      <c r="I30" s="131" t="inlineStr">
        <is>
          <t>0% (Đã fix 3 lỗi)</t>
        </is>
      </c>
    </row>
    <row r="31" ht="24" customHeight="1" s="34">
      <c r="B31" s="128" t="n">
        <v>7</v>
      </c>
      <c r="C31" s="129" t="inlineStr">
        <is>
          <t>10_TC_Admin_System (Quản trị viên Admin)</t>
        </is>
      </c>
      <c r="D31" s="128" t="n">
        <v>12</v>
      </c>
      <c r="E31" s="128" t="n">
        <v>8</v>
      </c>
      <c r="F31" s="130" t="n">
        <v>4</v>
      </c>
      <c r="G31" s="131" t="n">
        <v>12</v>
      </c>
      <c r="H31" s="128" t="n">
        <v>0</v>
      </c>
      <c r="I31" s="131" t="inlineStr">
        <is>
          <t>0% (Đã fix 4 lỗi)</t>
        </is>
      </c>
    </row>
    <row r="32" ht="24" customHeight="1" s="34">
      <c r="B32" s="128" t="n">
        <v>8</v>
      </c>
      <c r="C32" s="129" t="inlineStr">
        <is>
          <t>11_TC_Mobile_Specific (Đặc thù Di động)</t>
        </is>
      </c>
      <c r="D32" s="128" t="n">
        <v>12</v>
      </c>
      <c r="E32" s="128" t="n">
        <v>12</v>
      </c>
      <c r="F32" s="128" t="n">
        <v>0</v>
      </c>
      <c r="G32" s="131" t="n">
        <v>12</v>
      </c>
      <c r="H32" s="128" t="n">
        <v>0</v>
      </c>
      <c r="I32" s="131" t="inlineStr">
        <is>
          <t>0% (Không hồi quy)</t>
        </is>
      </c>
    </row>
    <row r="33" ht="26" customHeight="1" s="34">
      <c r="B33" s="79" t="inlineStr"/>
      <c r="C33" s="132" t="inlineStr">
        <is>
          <t>TỔNG CỘNG TOÀN BỘ HỆ THỐNG</t>
        </is>
      </c>
      <c r="D33" s="133" t="n">
        <v>137</v>
      </c>
      <c r="E33" s="133" t="inlineStr">
        <is>
          <t>120 (87.6%)</t>
        </is>
      </c>
      <c r="F33" s="130" t="inlineStr">
        <is>
          <t>17 (12.4%)</t>
        </is>
      </c>
      <c r="G33" s="131" t="inlineStr">
        <is>
          <t>137 (100.0%)</t>
        </is>
      </c>
      <c r="H33" s="131" t="inlineStr">
        <is>
          <t>0 (0.0%)</t>
        </is>
      </c>
      <c r="I33" s="131" t="inlineStr">
        <is>
          <t>0.0% (KHÔNG HỒI QUY)</t>
        </is>
      </c>
    </row>
  </sheetData>
  <mergeCells count="13">
    <mergeCell ref="B19:D19"/>
    <mergeCell ref="B3:J3"/>
    <mergeCell ref="C6:D6"/>
    <mergeCell ref="I6:J6"/>
    <mergeCell ref="E6:F6"/>
    <mergeCell ref="C5:D5"/>
    <mergeCell ref="G5:H5"/>
    <mergeCell ref="E5:F5"/>
    <mergeCell ref="I5:J5"/>
    <mergeCell ref="B8:J8"/>
    <mergeCell ref="B22:I22"/>
    <mergeCell ref="G6:H6"/>
    <mergeCell ref="B2:J2"/>
  </mergeCells>
  <printOptions gridLines="1"/>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21"/>
  <sheetViews>
    <sheetView topLeftCell="G1" workbookViewId="0">
      <selection activeCell="L7" sqref="L7"/>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XÁC THỰC &amp; TÀI KHOẢN NGƯỜI DÙNG (AUTH &amp; PROFILE)</t>
        </is>
      </c>
    </row>
    <row r="2" ht="18" customHeight="1" s="34">
      <c r="A2" s="61" t="inlineStr">
        <is>
          <t>Kiểm tra Đăng ký, Đăng nhập, Quên mật khẩu, OTP, Hồ sơ cá nhân, Nhiệm vụ và Thành tựu</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79.2" customHeight="1" s="34">
      <c r="A5" s="11" t="n">
        <v>1</v>
      </c>
      <c r="B5" s="12" t="inlineStr">
        <is>
          <t>TC_AUTH_001</t>
        </is>
      </c>
      <c r="C5" s="13" t="inlineStr">
        <is>
          <t>Đăng ký</t>
        </is>
      </c>
      <c r="D5" s="13" t="inlineStr">
        <is>
          <t>Đăng ký tài khoản với thông tin hợp lệ</t>
        </is>
      </c>
      <c r="E5" s="13" t="inlineStr">
        <is>
          <t>Người dùng ở trang Đăng ký (/Auth/Register), chưa đăng nhập</t>
        </is>
      </c>
      <c r="F5" s="13" t="inlineStr">
        <is>
          <t>1. Nhập Tên đăng nhập hợp lệ (ví dụ: kythu2026)
2. Nhập Email hợp lệ
3. Nhập Mật khẩu đủ mạnh (&gt;=6 ký tự)
4. Nhập lại mật khẩu khớp
5. Bấm nút "Đăng ký"</t>
        </is>
      </c>
      <c r="G5" s="13" t="inlineStr">
        <is>
          <t>User: kythu2026, Pass: 123456, Email: kythu2026@test.com</t>
        </is>
      </c>
      <c r="H5" s="13" t="inlineStr">
        <is>
          <t>Hệ thống tạo tài khoản thành công, cấp mã PlayerId (CT-xxxxx), khởi tạo Elo=1200 và tự động chuyển về trang Đăng nhập/Trang chủ.</t>
        </is>
      </c>
      <c r="I5" s="14" t="inlineStr">
        <is>
          <t>Đăng ký thành công tài khoản kythu_1793208469, cấp PlayerId và Token phiên.</t>
        </is>
      </c>
      <c r="J5" s="134" t="inlineStr">
        <is>
          <t>Pass</t>
        </is>
      </c>
      <c r="K5" s="15" t="inlineStr">
        <is>
          <t>High</t>
        </is>
      </c>
      <c r="L5" s="13" t="inlineStr">
        <is>
          <t>BUG_002 (Đã fix ở Chu kỳ 2 - Commit 65ae81d)</t>
        </is>
      </c>
    </row>
    <row r="6" ht="52.8" customHeight="1" s="34">
      <c r="A6" s="11" t="n">
        <v>2</v>
      </c>
      <c r="B6" s="12" t="inlineStr">
        <is>
          <t>TC_AUTH_002</t>
        </is>
      </c>
      <c r="C6" s="13" t="inlineStr">
        <is>
          <t>Đăng ký</t>
        </is>
      </c>
      <c r="D6" s="13" t="inlineStr">
        <is>
          <t>Đăng ký với Tên đăng nhập đã tồn tại trong CSDL</t>
        </is>
      </c>
      <c r="E6" s="13" t="inlineStr">
        <is>
          <t>Tài khoản "kythu2026" đã có sẵn trong cơ sở dữ liệu</t>
        </is>
      </c>
      <c r="F6" s="13" t="inlineStr">
        <is>
          <t>1. Nhập Tên đăng nhập trùng lặp "kythu2026"
2. Nhập email và mật khẩu hợp lệ
3. Bấm nút "Đăng ký"</t>
        </is>
      </c>
      <c r="G6" s="13" t="inlineStr">
        <is>
          <t>User: kythu2026, Pass: 123456</t>
        </is>
      </c>
      <c r="H6" s="13" t="inlineStr">
        <is>
          <t>Hệ thống từ chối đăng ký và hiển thị thông báo lỗi rõ ràng: "Tên đăng nhập đã được sử dụng". Không tạo bản ghi mới trong CSDL.</t>
        </is>
      </c>
      <c r="I6" s="14" t="inlineStr">
        <is>
          <t>Hệ thống từ chối đăng ký username trùng lặp và trả về thông báo lỗi chính xác.</t>
        </is>
      </c>
      <c r="J6" s="134" t="inlineStr">
        <is>
          <t>Pass</t>
        </is>
      </c>
      <c r="K6" s="15" t="inlineStr">
        <is>
          <t>High</t>
        </is>
      </c>
      <c r="L6" s="13" t="inlineStr">
        <is>
          <t>BUG_016 (Đã fix ở Chu kỳ 2 - Commit 65ae81d)</t>
        </is>
      </c>
    </row>
    <row r="7" ht="39.6" customHeight="1" s="34">
      <c r="A7" s="11" t="n">
        <v>3</v>
      </c>
      <c r="B7" s="12" t="inlineStr">
        <is>
          <t>TC_AUTH_003</t>
        </is>
      </c>
      <c r="C7" s="13" t="inlineStr">
        <is>
          <t>Đăng ký</t>
        </is>
      </c>
      <c r="D7" s="13" t="inlineStr">
        <is>
          <t>Đăng ký với Email đã được liên kết tài khoản khác</t>
        </is>
      </c>
      <c r="E7" s="13" t="inlineStr">
        <is>
          <t>Email "admin@chess.vn" đã được sử dụng bởi tài khoản khác</t>
        </is>
      </c>
      <c r="F7" s="13" t="inlineStr">
        <is>
          <t>1. Nhập username mới
2. Nhập email "admin@chess.vn"
3. Bấm nút "Đăng ký"</t>
        </is>
      </c>
      <c r="G7" s="13" t="inlineStr">
        <is>
          <t>User: user_moi, Email: admin@chess.vn</t>
        </is>
      </c>
      <c r="H7" s="13" t="inlineStr">
        <is>
          <t>Hệ thống báo lỗi: "Email này đã được đăng ký". Ngăn chặn trùng lặp email.</t>
        </is>
      </c>
      <c r="I7" s="14" t="inlineStr">
        <is>
          <t>Hệ thống từ chối đăng ký email trùng lặp và báo lỗi chuẩn xác.</t>
        </is>
      </c>
      <c r="J7" s="134" t="inlineStr">
        <is>
          <t>Pass</t>
        </is>
      </c>
      <c r="K7" s="16" t="inlineStr">
        <is>
          <t>Medium</t>
        </is>
      </c>
      <c r="L7" s="13" t="n"/>
    </row>
    <row r="8" ht="39.6" customHeight="1" s="34">
      <c r="A8" s="11" t="n">
        <v>4</v>
      </c>
      <c r="B8" s="12" t="inlineStr">
        <is>
          <t>TC_AUTH_004</t>
        </is>
      </c>
      <c r="C8" s="13" t="inlineStr">
        <is>
          <t>Đăng ký</t>
        </is>
      </c>
      <c r="D8" s="13" t="inlineStr">
        <is>
          <t>Đăng ký với mật khẩu ngắn dưới 6 ký tự</t>
        </is>
      </c>
      <c r="E8" s="13" t="inlineStr">
        <is>
          <t>Người dùng ở trang Đăng ký</t>
        </is>
      </c>
      <c r="F8" s="13" t="inlineStr">
        <is>
          <t>1. Nhập username và email hợp lệ
2. Nhập mật khẩu chỉ có 3 ký tự (ví dụ: 123)
3. Bấm "Đăng ký"</t>
        </is>
      </c>
      <c r="G8" s="13" t="inlineStr">
        <is>
          <t>Pass: 123, ConfirmPass: 123</t>
        </is>
      </c>
      <c r="H8" s="13" t="inlineStr">
        <is>
          <t>Client-side hoặc Server-side chặn lại và báo lỗi: "Mật khẩu phải chứa ít nhất 6 ký tự".</t>
        </is>
      </c>
      <c r="I8" s="14" t="inlineStr">
        <is>
          <t>Hệ thống chặn mật khẩu &lt; 6 ký tự và báo lỗi.</t>
        </is>
      </c>
      <c r="J8" s="134" t="inlineStr">
        <is>
          <t>Pass</t>
        </is>
      </c>
      <c r="K8" s="15" t="inlineStr">
        <is>
          <t>High</t>
        </is>
      </c>
      <c r="L8" s="13" t="inlineStr">
        <is>
          <t>BUG_001 (Đã fix ở Chu kỳ 2 - Commit 65ae81d)</t>
        </is>
      </c>
    </row>
    <row r="9" ht="39.6" customHeight="1" s="34">
      <c r="A9" s="11" t="n">
        <v>5</v>
      </c>
      <c r="B9" s="12" t="inlineStr">
        <is>
          <t>TC_AUTH_005</t>
        </is>
      </c>
      <c r="C9" s="13" t="inlineStr">
        <is>
          <t>Đăng ký</t>
        </is>
      </c>
      <c r="D9" s="13" t="inlineStr">
        <is>
          <t>Đăng ký khi Xác nhận mật khẩu không khớp</t>
        </is>
      </c>
      <c r="E9" s="13" t="inlineStr">
        <is>
          <t>Người dùng ở trang Đăng ký</t>
        </is>
      </c>
      <c r="F9" s="13" t="inlineStr">
        <is>
          <t>1. Nhập mật khẩu: "123456"
2. Nhập xác nhận mật khẩu: "654321"
3. Bấm "Đăng ký"</t>
        </is>
      </c>
      <c r="G9" s="13" t="inlineStr">
        <is>
          <t>Pass: 123456, Confirm: 654321</t>
        </is>
      </c>
      <c r="H9" s="13" t="inlineStr">
        <is>
          <t>Hệ thống báo lỗi: "Mật khẩu xác nhận không trùng khớp".</t>
        </is>
      </c>
      <c r="I9" s="14" t="inlineStr">
        <is>
          <t>Giao diện và controller xác nhận mật khẩu không khớp, hiển thị cảnh báo đỏ.</t>
        </is>
      </c>
      <c r="J9" s="134" t="inlineStr">
        <is>
          <t>Pass</t>
        </is>
      </c>
      <c r="K9" s="16" t="inlineStr">
        <is>
          <t>Medium</t>
        </is>
      </c>
      <c r="L9" s="13" t="n"/>
    </row>
    <row r="10" ht="39.6" customHeight="1" s="34">
      <c r="A10" s="11" t="n">
        <v>6</v>
      </c>
      <c r="B10" s="12" t="inlineStr">
        <is>
          <t>TC_AUTH_006</t>
        </is>
      </c>
      <c r="C10" s="13" t="inlineStr">
        <is>
          <t>Đăng ký</t>
        </is>
      </c>
      <c r="D10" s="13" t="inlineStr">
        <is>
          <t>Đăng ký khi để trống các trường bắt buộc</t>
        </is>
      </c>
      <c r="E10" s="13" t="inlineStr">
        <is>
          <t>Người dùng ở trang Đăng ký</t>
        </is>
      </c>
      <c r="F10" s="13" t="inlineStr">
        <is>
          <t>1. Để trống trường Tên đăng nhập hoặc Mật khẩu
2. Bấm "Đăng ký"</t>
        </is>
      </c>
      <c r="G10" s="13" t="inlineStr">
        <is>
          <t>Username: [Rỗng], Pass: [Rỗng]</t>
        </is>
      </c>
      <c r="H10" s="13" t="inlineStr">
        <is>
          <t>Hiển thị viền đỏ cảnh báo và thông báo yêu cầu nhập đầy đủ thông tin bắt buộc.</t>
        </is>
      </c>
      <c r="I10" s="14" t="inlineStr">
        <is>
          <t>Chặn thành công trường dữ liệu rỗng và hiển thị cảnh báo viền đỏ bắt buộc.</t>
        </is>
      </c>
      <c r="J10" s="134" t="inlineStr">
        <is>
          <t>Pass</t>
        </is>
      </c>
      <c r="K10" s="16" t="inlineStr">
        <is>
          <t>Medium</t>
        </is>
      </c>
      <c r="L10" s="13" t="n"/>
    </row>
    <row r="11" ht="52.8" customHeight="1" s="34">
      <c r="A11" s="11" t="n">
        <v>7</v>
      </c>
      <c r="B11" s="12" t="inlineStr">
        <is>
          <t>TC_AUTH_007</t>
        </is>
      </c>
      <c r="C11" s="13" t="inlineStr">
        <is>
          <t>Đăng nhập</t>
        </is>
      </c>
      <c r="D11" s="13" t="inlineStr">
        <is>
          <t>Đăng nhập với Username và Mật khẩu chính xác</t>
        </is>
      </c>
      <c r="E11" s="13" t="inlineStr">
        <is>
          <t>Tài khoản "kythu2026" tồn tại với mật khẩu "123456"</t>
        </is>
      </c>
      <c r="F11" s="13" t="inlineStr">
        <is>
          <t>1. Vào trang Đăng nhập (/Auth/Login)
2. Nhập Username "kythu2026"
3. Nhập Password "123456"
4. Bấm "Đăng nhập"</t>
        </is>
      </c>
      <c r="G11" s="13" t="inlineStr">
        <is>
          <t>User: kythu2026, Pass: 123456</t>
        </is>
      </c>
      <c r="H11" s="13" t="inlineStr">
        <is>
          <t>Đăng nhập thành công, cấp Bearer Token hoặc Cookie phiên, chuyển hướng về Trang chủ. Header hiển thị tên người dùng và số Elo.</t>
        </is>
      </c>
      <c r="I11" s="14" t="inlineStr">
        <is>
          <t>Đăng nhập thành công, cấp Bearer Token (eyJVc2VySWQiOjQ...), hiển thị Elo 1200.</t>
        </is>
      </c>
      <c r="J11" s="134" t="inlineStr">
        <is>
          <t>Pass</t>
        </is>
      </c>
      <c r="K11" s="15" t="inlineStr">
        <is>
          <t>High</t>
        </is>
      </c>
      <c r="L11" s="13" t="n"/>
    </row>
    <row r="12" ht="39.6" customHeight="1" s="34">
      <c r="A12" s="11" t="n">
        <v>8</v>
      </c>
      <c r="B12" s="12" t="inlineStr">
        <is>
          <t>TC_AUTH_008</t>
        </is>
      </c>
      <c r="C12" s="13" t="inlineStr">
        <is>
          <t>Đăng nhập</t>
        </is>
      </c>
      <c r="D12" s="13" t="inlineStr">
        <is>
          <t>Đăng nhập với Mật khẩu không chính xác</t>
        </is>
      </c>
      <c r="E12" s="13" t="inlineStr">
        <is>
          <t>Tài khoản "kythu2026" tồn tại trong hệ thống</t>
        </is>
      </c>
      <c r="F12" s="13" t="inlineStr">
        <is>
          <t>1. Nhập username "kythu2026"
2. Nhập mật khẩu sai: "sai_mat_khau"
3. Bấm "Đăng nhập"</t>
        </is>
      </c>
      <c r="G12" s="13" t="inlineStr">
        <is>
          <t>User: kythu2026, Pass: sai_mat_khau</t>
        </is>
      </c>
      <c r="H12" s="13" t="inlineStr">
        <is>
          <t>Báo lỗi: "Tên đăng nhập hoặc mật khẩu không đúng". Mật khẩu bị xóa khỏi ô nhập, giữ nguyên tên đăng nhập.</t>
        </is>
      </c>
      <c r="I12" s="14" t="inlineStr">
        <is>
          <t>Báo lỗi 'Tên đăng nhập hoặc mật khẩu không đúng', bảo mật thông tin an toàn.</t>
        </is>
      </c>
      <c r="J12" s="134" t="inlineStr">
        <is>
          <t>Pass</t>
        </is>
      </c>
      <c r="K12" s="15" t="inlineStr">
        <is>
          <t>High</t>
        </is>
      </c>
      <c r="L12" s="13" t="n"/>
    </row>
    <row r="13" ht="39.6" customHeight="1" s="34">
      <c r="A13" s="11" t="n">
        <v>9</v>
      </c>
      <c r="B13" s="12" t="inlineStr">
        <is>
          <t>TC_AUTH_009</t>
        </is>
      </c>
      <c r="C13" s="13" t="inlineStr">
        <is>
          <t>Đăng nhập</t>
        </is>
      </c>
      <c r="D13" s="13" t="inlineStr">
        <is>
          <t>Đăng nhập với tài khoản không tồn tại</t>
        </is>
      </c>
      <c r="E13" s="13" t="inlineStr">
        <is>
          <t>Tài khoản "user_chua_dang_ky_999" không có trong CSDL</t>
        </is>
      </c>
      <c r="F13" s="13" t="inlineStr">
        <is>
          <t>1. Nhập username "user_chua_dang_ky_999"
2. Nhập mật khẩu bất kỳ
3. Bấm "Đăng nhập"</t>
        </is>
      </c>
      <c r="G13" s="13" t="inlineStr">
        <is>
          <t>User: user_chua_dang_ky_999</t>
        </is>
      </c>
      <c r="H13" s="13" t="inlineStr">
        <is>
          <t>Báo lỗi đăng nhập không thành công, không tiết lộ tài khoản có tồn tại hay không vì lý do bảo mật.</t>
        </is>
      </c>
      <c r="I13" s="14" t="inlineStr">
        <is>
          <t>Báo lỗi đăng nhập không thành công, không để lộ thông tin tồn tại người dùng.</t>
        </is>
      </c>
      <c r="J13" s="134" t="inlineStr">
        <is>
          <t>Pass</t>
        </is>
      </c>
      <c r="K13" s="16" t="inlineStr">
        <is>
          <t>Medium</t>
        </is>
      </c>
      <c r="L13" s="13" t="n"/>
    </row>
    <row r="14" ht="39.6" customHeight="1" s="34">
      <c r="A14" s="11" t="n">
        <v>10</v>
      </c>
      <c r="B14" s="12" t="inlineStr">
        <is>
          <t>TC_AUTH_010</t>
        </is>
      </c>
      <c r="C14" s="13" t="inlineStr">
        <is>
          <t>Đăng nhập</t>
        </is>
      </c>
      <c r="D14" s="13" t="inlineStr">
        <is>
          <t>Đăng nhập tài khoản bị khóa bởi Quản trị viên</t>
        </is>
      </c>
      <c r="E14" s="13" t="inlineStr">
        <is>
          <t>Tài khoản bị Admin đặt trạng thái IsActive = false</t>
        </is>
      </c>
      <c r="F14" s="13" t="inlineStr">
        <is>
          <t>1. Nhập đúng tài khoản và mật khẩu của user bị khóa
2. Bấm "Đăng nhập"</t>
        </is>
      </c>
      <c r="G14" s="13" t="inlineStr">
        <is>
          <t>Tài khoản bị khóa</t>
        </is>
      </c>
      <c r="H14" s="13" t="inlineStr">
        <is>
          <t>Hệ thống từ chối đăng nhập và hiển thị thông báo: "Tài khoản của bạn đã bị khóa. Vui lòng liên hệ quản trị viên."</t>
        </is>
      </c>
      <c r="I14" s="14" t="inlineStr">
        <is>
          <t>Hệ thống kiểm tra trạng thái IsActive = false và từ chối đăng nhập kèm thông báo khóa tài khoản.</t>
        </is>
      </c>
      <c r="J14" s="134" t="inlineStr">
        <is>
          <t>Pass</t>
        </is>
      </c>
      <c r="K14" s="15" t="inlineStr">
        <is>
          <t>High</t>
        </is>
      </c>
      <c r="L14" s="13" t="inlineStr">
        <is>
          <t>BUG_010 (Đã fix ở Chu kỳ 2 - Commit 65ae81d)</t>
        </is>
      </c>
    </row>
    <row r="15" ht="39.6" customHeight="1" s="34">
      <c r="A15" s="11" t="n">
        <v>11</v>
      </c>
      <c r="B15" s="12" t="inlineStr">
        <is>
          <t>TC_AUTH_011</t>
        </is>
      </c>
      <c r="C15" s="13" t="inlineStr">
        <is>
          <t>Quên mật khẩu</t>
        </is>
      </c>
      <c r="D15" s="13" t="inlineStr">
        <is>
          <t>Yêu cầu gửi mã OTP đặt lại mật khẩu</t>
        </is>
      </c>
      <c r="E15" s="13" t="inlineStr">
        <is>
          <t>Người dùng ở trang Quên mật khẩu (/Auth/ForgotPassword)</t>
        </is>
      </c>
      <c r="F15" s="13" t="inlineStr">
        <is>
          <t>1. Nhập email đã đăng ký tài khoản
2. Bấm "Gửi mã xác nhận OTP"</t>
        </is>
      </c>
      <c r="G15" s="13" t="inlineStr">
        <is>
          <t>Email: kythu2026@test.com</t>
        </is>
      </c>
      <c r="H15" s="13" t="inlineStr">
        <is>
          <t>Hệ thống sinh mã OTP ngẫu nhiên (6 chữ số), lưu hạn sử dụng 5 phút và chuyển sang trang Nhập OTP.</t>
        </is>
      </c>
      <c r="I15" s="14" t="inlineStr">
        <is>
          <t>Sinh mã OTP ngẫu nhiên (6 chữ số), lưu hạn sử dụng 5 phút và chuyển sang trang xác nhận OTP.</t>
        </is>
      </c>
      <c r="J15" s="134" t="inlineStr">
        <is>
          <t>Pass</t>
        </is>
      </c>
      <c r="K15" s="16" t="inlineStr">
        <is>
          <t>Medium</t>
        </is>
      </c>
      <c r="L15" s="13" t="inlineStr">
        <is>
          <t>BUG_008 (Đã fix ở Chu kỳ 2 - Commit 65ae81d)</t>
        </is>
      </c>
    </row>
    <row r="16" ht="26.4" customHeight="1" s="34">
      <c r="A16" s="11" t="n">
        <v>12</v>
      </c>
      <c r="B16" s="12" t="inlineStr">
        <is>
          <t>TC_AUTH_012</t>
        </is>
      </c>
      <c r="C16" s="13" t="inlineStr">
        <is>
          <t>Xác thực OTP</t>
        </is>
      </c>
      <c r="D16" s="13" t="inlineStr">
        <is>
          <t>Nhập sai mã OTP hoặc mã OTP đã hết hạn</t>
        </is>
      </c>
      <c r="E16" s="13" t="inlineStr">
        <is>
          <t>Hệ thống đã gửi OTP tới email</t>
        </is>
      </c>
      <c r="F16" s="13" t="inlineStr">
        <is>
          <t>1. Nhập mã OTP sai (ví dụ: 000000)
2. Bấm "Xác nhận"</t>
        </is>
      </c>
      <c r="G16" s="13" t="inlineStr">
        <is>
          <t>OTP: 000000</t>
        </is>
      </c>
      <c r="H16" s="13" t="inlineStr">
        <is>
          <t>Báo lỗi: "Mã OTP không chính xác hoặc đã hết hạn". Không cho phép đổi mật khẩu.</t>
        </is>
      </c>
      <c r="I16" s="14" t="inlineStr">
        <is>
          <t>Nhập mã OTP sai (000000) bị từ chối với thông báo 'Mã OTP không chính xác hoặc đã hết hạn'.</t>
        </is>
      </c>
      <c r="J16" s="134" t="inlineStr">
        <is>
          <t>Pass</t>
        </is>
      </c>
      <c r="K16" s="16" t="inlineStr">
        <is>
          <t>Medium</t>
        </is>
      </c>
      <c r="L16" s="13" t="n"/>
    </row>
    <row r="17" ht="39.6" customHeight="1" s="34">
      <c r="A17" s="11" t="n">
        <v>13</v>
      </c>
      <c r="B17" s="12" t="inlineStr">
        <is>
          <t>TC_AUTH_013</t>
        </is>
      </c>
      <c r="C17" s="13" t="inlineStr">
        <is>
          <t>Đặt lại mật khẩu</t>
        </is>
      </c>
      <c r="D17" s="13" t="inlineStr">
        <is>
          <t>Đặt lại mật khẩu mới sau khi xác thực OTP thành công</t>
        </is>
      </c>
      <c r="E17" s="13" t="inlineStr">
        <is>
          <t>Đã xác thực OTP thành công</t>
        </is>
      </c>
      <c r="F17" s="13" t="inlineStr">
        <is>
          <t>1. Nhập mật khẩu mới: "newpass2026"
2. Nhập lại mật khẩu mới
3. Bấm "Đổi mật khẩu"</t>
        </is>
      </c>
      <c r="G17" s="13" t="inlineStr">
        <is>
          <t>NewPass: newpass2026</t>
        </is>
      </c>
      <c r="H17" s="13" t="inlineStr">
        <is>
          <t>Hệ thống cập nhật mật khẩu mới (đã mã hóa hash), thông báo thành công và chuyển về trang Đăng nhập.</t>
        </is>
      </c>
      <c r="I17" s="14" t="inlineStr">
        <is>
          <t>Mã hóa băm mật khẩu mới thành công, thông báo hoàn tất và điều hướng về trang Đăng nhập.</t>
        </is>
      </c>
      <c r="J17" s="134" t="inlineStr">
        <is>
          <t>Pass</t>
        </is>
      </c>
      <c r="K17" s="15" t="inlineStr">
        <is>
          <t>High</t>
        </is>
      </c>
      <c r="L17" s="13" t="n"/>
    </row>
    <row r="18" ht="39.6" customHeight="1" s="34">
      <c r="A18" s="11" t="n">
        <v>14</v>
      </c>
      <c r="B18" s="12" t="inlineStr">
        <is>
          <t>TC_AUTH_014</t>
        </is>
      </c>
      <c r="C18" s="13" t="inlineStr">
        <is>
          <t>Hồ sơ cá nhân</t>
        </is>
      </c>
      <c r="D18" s="13" t="inlineStr">
        <is>
          <t>Xem thông tin chi tiết hồ sơ tài khoản (/Account)</t>
        </is>
      </c>
      <c r="E18" s="13" t="inlineStr">
        <is>
          <t>Người dùng đã đăng nhập thành công</t>
        </is>
      </c>
      <c r="F18" s="13" t="inlineStr">
        <is>
          <t>1. Truy cập vào mục Hồ sơ tài khoản (/Account)
2. Kiểm tra thông tin hiển thị</t>
        </is>
      </c>
      <c r="G18" s="13" t="inlineStr">
        <is>
          <t>Tài khoản đang đăng nhập</t>
        </is>
      </c>
      <c r="H18" s="13" t="inlineStr">
        <is>
          <t>Hiển thị chuẩn xác: Tên người dùng, Mã ID người chơi (CT-xxxxx), Email, Số điểm Elo, Tổng số ván đấu, Tỷ lệ thắng (%).</t>
        </is>
      </c>
      <c r="I18" s="14" t="inlineStr">
        <is>
          <t>Hiển thị đầy đủ thông tin hồ sơ: Tên người dùng, Mã PlayerId, Email, Điểm Elo và Tỷ lệ thắng.</t>
        </is>
      </c>
      <c r="J18" s="134" t="inlineStr">
        <is>
          <t>Pass</t>
        </is>
      </c>
      <c r="K18" s="15" t="inlineStr">
        <is>
          <t>High</t>
        </is>
      </c>
      <c r="L18" s="13" t="n"/>
    </row>
    <row r="19" ht="39.6" customHeight="1" s="34">
      <c r="A19" s="11" t="n">
        <v>15</v>
      </c>
      <c r="B19" s="12" t="inlineStr">
        <is>
          <t>TC_AUTH_015</t>
        </is>
      </c>
      <c r="C19" s="13" t="inlineStr">
        <is>
          <t>Hồ sơ cá nhân</t>
        </is>
      </c>
      <c r="D19" s="13" t="inlineStr">
        <is>
          <t>Thay đổi tên hiển thị và cập nhật mật khẩu mới</t>
        </is>
      </c>
      <c r="E19" s="13" t="inlineStr">
        <is>
          <t>Người dùng ở trang /Account</t>
        </is>
      </c>
      <c r="F19" s="13" t="inlineStr">
        <is>
          <t>1. Nhập mật khẩu hiện tại
2. Nhập mật khẩu mới
3. Bấm "Cập nhật thông tin"</t>
        </is>
      </c>
      <c r="G19" s="13" t="inlineStr">
        <is>
          <t>CurrentPass: 123456, NewPass: 654321</t>
        </is>
      </c>
      <c r="H19" s="13" t="inlineStr">
        <is>
          <t>Cập nhật thành công, có thông báo popup xanh lá, đăng nhập lại bằng mật khẩu mới thành công.</t>
        </is>
      </c>
      <c r="I19" s="14" t="inlineStr">
        <is>
          <t>Cập nhật mật khẩu mới thành công, có thông báo popup xanh lá và đăng nhập lại bằng mật khẩu mới ổn định.</t>
        </is>
      </c>
      <c r="J19" s="134" t="inlineStr">
        <is>
          <t>Pass</t>
        </is>
      </c>
      <c r="K19" s="16" t="inlineStr">
        <is>
          <t>Medium</t>
        </is>
      </c>
      <c r="L19" s="13" t="n"/>
    </row>
    <row r="20" ht="39.6" customHeight="1" s="34">
      <c r="A20" s="11" t="n">
        <v>16</v>
      </c>
      <c r="B20" s="12" t="inlineStr">
        <is>
          <t>TC_AUTH_016</t>
        </is>
      </c>
      <c r="C20" s="13" t="inlineStr">
        <is>
          <t>Nhiệm vụ ngày</t>
        </is>
      </c>
      <c r="D20" s="13" t="inlineStr">
        <is>
          <t>Kiểm tra danh sách Nhiệm vụ hằng ngày và nhận thưởng</t>
        </is>
      </c>
      <c r="E20" s="13" t="inlineStr">
        <is>
          <t>Đã hoàn thành 1 nhiệm vụ (ví dụ: Thắng 1 ván cờ)</t>
        </is>
      </c>
      <c r="F20" s="13" t="inlineStr">
        <is>
          <t>1. Mở danh sách Nhiệm vụ ngày
2. Kiểm tra thanh tiến độ (1/1)
3. Bấm nút "Nhận thưởng"</t>
        </is>
      </c>
      <c r="G20" s="13" t="inlineStr">
        <is>
          <t>Nhiệm vụ: Thắng 1 ván cờ</t>
        </is>
      </c>
      <c r="H20" s="13" t="inlineStr">
        <is>
          <t>Cộng điểm Elo hoặc Vàng tương ứng, trạng thái chuyển thành "Đã nhận", nút nhận thưởng bị vô hiệu hóa.</t>
        </is>
      </c>
      <c r="I20" s="14" t="inlineStr">
        <is>
          <t>Hệ thống nhiệm vụ hàng ngày ghi nhận tiến độ chính xác.</t>
        </is>
      </c>
      <c r="J20" s="134" t="inlineStr">
        <is>
          <t>Pass</t>
        </is>
      </c>
      <c r="K20" s="16" t="inlineStr">
        <is>
          <t>Medium</t>
        </is>
      </c>
      <c r="L20" s="13" t="inlineStr">
        <is>
          <t>BUG_009 (Đã fix ở Chu kỳ 2 - Commit 65ae81d)</t>
        </is>
      </c>
    </row>
    <row r="21" ht="39.6" customHeight="1" s="34">
      <c r="A21" s="11" t="n">
        <v>17</v>
      </c>
      <c r="B21" s="12" t="inlineStr">
        <is>
          <t>TC_AUTH_017</t>
        </is>
      </c>
      <c r="C21" s="13" t="inlineStr">
        <is>
          <t>Thành tựu</t>
        </is>
      </c>
      <c r="D21" s="13" t="inlineStr">
        <is>
          <t>Kiểm tra 8 Huy hiệu thành tựu và điều kiện mở khóa</t>
        </is>
      </c>
      <c r="E21" s="13" t="inlineStr">
        <is>
          <t>Người dùng xem mục Danh hiệu &amp; Huy hiệu</t>
        </is>
      </c>
      <c r="F21" s="13" t="inlineStr">
        <is>
          <t>1. Mở trang Thành tựu
2. Kiểm tra các huy hiệu đã mở khóa và còn khóa</t>
        </is>
      </c>
      <c r="G21" s="13" t="inlineStr">
        <is>
          <t>8 Huy hiệu hệ thống</t>
        </is>
      </c>
      <c r="H21" s="13" t="inlineStr">
        <is>
          <t>Huy hiệu đủ điều kiện hiển thị màu vàng kim rực rỡ, huy hiệu chưa đạt hiển thị màu xám bạc kèm thanh tiến độ.</t>
        </is>
      </c>
      <c r="I21" s="14" t="inlineStr">
        <is>
          <t>8 Huy hiệu thành tựu hiển thị trạng thái chuẩn xác (màu vàng kim khi đạt, màu xám bạc kèm thanh tiến độ khi chưa đạt).</t>
        </is>
      </c>
      <c r="J21" s="134" t="inlineStr">
        <is>
          <t>Pass</t>
        </is>
      </c>
      <c r="K21" s="17" t="inlineStr">
        <is>
          <t>Low</t>
        </is>
      </c>
      <c r="L21" s="13" t="n"/>
    </row>
  </sheetData>
  <mergeCells count="2">
    <mergeCell ref="A2:L2"/>
    <mergeCell ref="A1:L1"/>
  </mergeCells>
  <dataValidations count="1">
    <dataValidation sqref="J5:J21"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0"/>
  <sheetViews>
    <sheetView topLeftCell="E1" workbookViewId="0">
      <selection activeCell="F9" sqref="F9"/>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BỘ LUẬT &amp; ENGINE CỜ TƯỚNG (CHESS RULES &amp; VALIDATOR)</t>
        </is>
      </c>
    </row>
    <row r="2" ht="18" customHeight="1" s="34">
      <c r="A2" s="61" t="inlineStr">
        <is>
          <t>Kiểm tra luật 7 loại quân, cản chân mã, cản mắt tượng, cung cấm, lộ mặt tướng, chiếu, chiếu bí, hòa cờ</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41.4" customFormat="1" customHeight="1" s="26">
      <c r="A5" s="19" t="n">
        <v>1</v>
      </c>
      <c r="B5" s="20" t="inlineStr">
        <is>
          <t>TC_RULE_001</t>
        </is>
      </c>
      <c r="C5" s="38" t="inlineStr">
        <is>
          <t>Quân Tướng</t>
        </is>
      </c>
      <c r="D5" s="38" t="inlineStr">
        <is>
          <t>Tướng (Soái) di chuyển 1 ô ngang hoặc dọc trong Cung 3x3</t>
        </is>
      </c>
      <c r="E5" s="38" t="inlineStr">
        <is>
          <t>Bàn cờ bắt đầu ván mới hoặc thế cờ hợp lệ</t>
        </is>
      </c>
      <c r="F5" s="38" t="inlineStr">
        <is>
          <t>1. Chọn Tướng Đỏ (vị trí d1 hoặc e1)
2. Di chuyển Tướng tiến lên 1 ô trong Cung (e2)</t>
        </is>
      </c>
      <c r="G5" s="38" t="inlineStr">
        <is>
          <t>Nước đi: e1-e2</t>
        </is>
      </c>
      <c r="H5" s="38" t="inlineStr">
        <is>
          <t>Quân Tướng di chuyển hợp lệ sang ô đích, lượt chơi chuyển sang bên Đen.</t>
        </is>
      </c>
      <c r="I5" s="23" t="inlineStr">
        <is>
          <t>Tướng Đỏ di chuyển hợp lệ 1 ô dọc trong Cung (e1-e2 / row 9 col 4 -&gt; row 8 col 4), lượt chơi chuyển sang bên Đen.</t>
        </is>
      </c>
      <c r="J5" s="134" t="inlineStr">
        <is>
          <t>Pass</t>
        </is>
      </c>
      <c r="K5" s="24" t="inlineStr">
        <is>
          <t>High</t>
        </is>
      </c>
      <c r="L5" s="38" t="n"/>
    </row>
    <row r="6" ht="41.4" customFormat="1" customHeight="1" s="26">
      <c r="A6" s="19" t="n">
        <v>2</v>
      </c>
      <c r="B6" s="20" t="inlineStr">
        <is>
          <t>TC_RULE_002</t>
        </is>
      </c>
      <c r="C6" s="38" t="inlineStr">
        <is>
          <t>Quân Tướng</t>
        </is>
      </c>
      <c r="D6" s="38" t="inlineStr">
        <is>
          <t>Tướng không được phép di chuyển ra ngoài Cung cấm</t>
        </is>
      </c>
      <c r="E6" s="38" t="inlineStr">
        <is>
          <t>Tướng đang đứng ở biên của Cung (d1, f1, d3, f3)</t>
        </is>
      </c>
      <c r="F6" s="38" t="inlineStr">
        <is>
          <t>1. Chọn quân Tướng
2. Cố gắng di chuyển Tướng ra ngoài biên Cung (ví dụ: c1 hoặc g1)</t>
        </is>
      </c>
      <c r="G6" s="38" t="inlineStr">
        <is>
          <t>Nước đi: d1-c1</t>
        </is>
      </c>
      <c r="H6" s="38" t="inlineStr">
        <is>
          <t>Hệ thống không hiển thị chấm gợi ý tại ô ngoài Cung và từ chối nước đi.</t>
        </is>
      </c>
      <c r="I6" s="23" t="inlineStr">
        <is>
          <t>Tướng không được phép di chuyển ra ngoài biên Cung cấm (d1-c1 bị chặn, không có chấm gợi ý).</t>
        </is>
      </c>
      <c r="J6" s="134" t="inlineStr">
        <is>
          <t>Pass</t>
        </is>
      </c>
      <c r="K6" s="24" t="inlineStr">
        <is>
          <t>High</t>
        </is>
      </c>
      <c r="L6" s="38" t="n"/>
    </row>
    <row r="7" ht="27.6" customFormat="1" customHeight="1" s="26">
      <c r="A7" s="19" t="n">
        <v>3</v>
      </c>
      <c r="B7" s="20" t="inlineStr">
        <is>
          <t>TC_RULE_003</t>
        </is>
      </c>
      <c r="C7" s="38" t="inlineStr">
        <is>
          <t>Quân Tướng</t>
        </is>
      </c>
      <c r="D7" s="38" t="inlineStr">
        <is>
          <t>Tướng không được phép di chuyển chéo</t>
        </is>
      </c>
      <c r="E7" s="38" t="inlineStr">
        <is>
          <t>Tướng đang ở ô trung tâm Cung (e2)</t>
        </is>
      </c>
      <c r="F7" s="38" t="inlineStr">
        <is>
          <t>1. Chọn Tướng tại e2
2. Cố gắng đi chéo sang d1 hoặc f3</t>
        </is>
      </c>
      <c r="G7" s="38" t="inlineStr">
        <is>
          <t>Nước đi chéo: e2-d1</t>
        </is>
      </c>
      <c r="H7" s="38" t="inlineStr">
        <is>
          <t>Hệ thống từ chối nước đi, chỉ cho phép đi ngang hoặc dọc.</t>
        </is>
      </c>
      <c r="I7" s="23" t="inlineStr">
        <is>
          <t>Tướng không được phép di chuyển chéo (e2-d1 bị từ chối, chỉ cho phép đi ngang hoặc dọc).</t>
        </is>
      </c>
      <c r="J7" s="134" t="inlineStr">
        <is>
          <t>Pass</t>
        </is>
      </c>
      <c r="K7" s="24" t="inlineStr">
        <is>
          <t>High</t>
        </is>
      </c>
      <c r="L7" s="38" t="n"/>
    </row>
    <row r="8" ht="55.2" customFormat="1" customHeight="1" s="26">
      <c r="A8" s="19" t="n">
        <v>4</v>
      </c>
      <c r="B8" s="20" t="inlineStr">
        <is>
          <t>TC_RULE_004</t>
        </is>
      </c>
      <c r="C8" s="38" t="inlineStr">
        <is>
          <t>Lộ mặt Tướng</t>
        </is>
      </c>
      <c r="D8" s="38" t="inlineStr">
        <is>
          <t>Hai Tướng không được nhìn thẳng nhau trên cùng 1 cột không có quân cản</t>
        </is>
      </c>
      <c r="E8" s="38" t="inlineStr">
        <is>
          <t>Tướng Đỏ ở e1, Tướng Đen ở e10, trên cột e không còn quân cản</t>
        </is>
      </c>
      <c r="F8" s="38" t="inlineStr">
        <is>
          <t>1. Bên Đỏ di chuyển Tướng Đỏ sang cột khác hoặc ăn quân
2. Bên Đen cố tình đi quân Tướng sang cột e để đối mặt trực tiếp</t>
        </is>
      </c>
      <c r="G8" s="38" t="inlineStr">
        <is>
          <t>Nước đi đối mặt: d10-e10</t>
        </is>
      </c>
      <c r="H8" s="38" t="inlineStr">
        <is>
          <t>Hệ thống chặn nước đi và cảnh báo "Không được phép để hai Tướng đối mặt trực tiếp (Lộ mặt tướng)".</t>
        </is>
      </c>
      <c r="I8" s="23" t="inlineStr">
        <is>
          <t>Hai Tướng đối mặt trực diện trên cùng cột không có quân cản bị chặn với thông báo 'Lộ mặt tướng'.</t>
        </is>
      </c>
      <c r="J8" s="134" t="inlineStr">
        <is>
          <t>Pass</t>
        </is>
      </c>
      <c r="K8" s="24" t="inlineStr">
        <is>
          <t>High</t>
        </is>
      </c>
      <c r="L8" s="38" t="n"/>
    </row>
    <row r="9" ht="41.4" customFormat="1" customHeight="1" s="26">
      <c r="A9" s="19" t="n">
        <v>5</v>
      </c>
      <c r="B9" s="20" t="inlineStr">
        <is>
          <t>TC_RULE_005</t>
        </is>
      </c>
      <c r="C9" s="38" t="inlineStr">
        <is>
          <t>Lộ mặt Tướng</t>
        </is>
      </c>
      <c r="D9" s="38" t="inlineStr">
        <is>
          <t>Quân cờ cản giữa hai Tướng không được di chuyển làm lộ mặt Tướng</t>
        </is>
      </c>
      <c r="E9" s="38" t="inlineStr">
        <is>
          <t>Tướng Đỏ e1, Tướng Đen e10, duy nhất 1 quân cờ đứng tại e5 làm lá chắn</t>
        </is>
      </c>
      <c r="F9" s="38" t="inlineStr">
        <is>
          <t>1. Chọn quân cờ tại e5 (ví dụ Xe hoặc Tốt)
2. Cố gắng di chuyển quân này ra khỏi cột e (ví dụ: e5-d5)</t>
        </is>
      </c>
      <c r="G9" s="38" t="inlineStr">
        <is>
          <t>Nước đi: e5-d5</t>
        </is>
      </c>
      <c r="H9" s="38" t="inlineStr">
        <is>
          <t>Hệ thống từ chối nước đi vì hành động này sẽ dẫn tới hai Tướng đối mặt nhau.</t>
        </is>
      </c>
      <c r="I9" s="23" t="inlineStr">
        <is>
          <t>Quân cản tại e5 khi di chuyển làm lộ mặt hai Tướng bị hệ thống từ chối bảo vệ an toàn mặt Tướng.</t>
        </is>
      </c>
      <c r="J9" s="134" t="inlineStr">
        <is>
          <t>Pass</t>
        </is>
      </c>
      <c r="K9" s="24" t="inlineStr">
        <is>
          <t>High</t>
        </is>
      </c>
      <c r="L9" s="38" t="n"/>
    </row>
    <row r="10" ht="27.6" customFormat="1" customHeight="1" s="26">
      <c r="A10" s="19" t="n">
        <v>6</v>
      </c>
      <c r="B10" s="20" t="inlineStr">
        <is>
          <t>TC_RULE_006</t>
        </is>
      </c>
      <c r="C10" s="38" t="inlineStr">
        <is>
          <t>Quân Sĩ</t>
        </is>
      </c>
      <c r="D10" s="38" t="inlineStr">
        <is>
          <t>Sĩ di chuyển 1 ô chéo trong phạm vi Cung 3x3 (5 điểm chéo)</t>
        </is>
      </c>
      <c r="E10" s="38" t="inlineStr">
        <is>
          <t>Sĩ Đỏ tại d1</t>
        </is>
      </c>
      <c r="F10" s="38" t="inlineStr">
        <is>
          <t>1. Chọn Sĩ tại d1
2. Di chuyển chéo lên tâm Cung e2</t>
        </is>
      </c>
      <c r="G10" s="38" t="inlineStr">
        <is>
          <t>Nước đi: d1-e2</t>
        </is>
      </c>
      <c r="H10" s="38" t="inlineStr">
        <is>
          <t>Quân Sĩ di chuyển hợp lệ vào ô e2.</t>
        </is>
      </c>
      <c r="I10" s="23" t="inlineStr">
        <is>
          <t>Sĩ di chuyển chéo 1 ô chính xác trong phạm vi Cung 3x3 (d1-e2 / row 9 col 3 -&gt; row 8 col 4).</t>
        </is>
      </c>
      <c r="J10" s="134" t="inlineStr">
        <is>
          <t>Pass</t>
        </is>
      </c>
      <c r="K10" s="24" t="inlineStr">
        <is>
          <t>High</t>
        </is>
      </c>
      <c r="L10" s="38" t="n"/>
    </row>
    <row r="11" ht="41.4" customFormat="1" customHeight="1" s="26">
      <c r="A11" s="19" t="n">
        <v>7</v>
      </c>
      <c r="B11" s="20" t="inlineStr">
        <is>
          <t>TC_RULE_007</t>
        </is>
      </c>
      <c r="C11" s="38" t="inlineStr">
        <is>
          <t>Quân Sĩ</t>
        </is>
      </c>
      <c r="D11" s="38" t="inlineStr">
        <is>
          <t>Sĩ không được đi thẳng, đi ngang hoặc đi ra ngoài Cung</t>
        </is>
      </c>
      <c r="E11" s="38" t="inlineStr">
        <is>
          <t>Sĩ đang ở d1</t>
        </is>
      </c>
      <c r="F11" s="38" t="inlineStr">
        <is>
          <t>1. Chọn Sĩ tại d1
2. Thử di chuyển thẳng lên d2 hoặc sang ngang e1</t>
        </is>
      </c>
      <c r="G11" s="38" t="inlineStr">
        <is>
          <t>Nước đi thẳng: d1-d2</t>
        </is>
      </c>
      <c r="H11" s="38" t="inlineStr">
        <is>
          <t>Hệ thống từ chối, chỉ cho phép đi chéo theo các đường kẻ trong Cung.</t>
        </is>
      </c>
      <c r="I11" s="23" t="inlineStr">
        <is>
          <t>Sĩ đi thẳng, đi ngang hoặc đi ra ngoài Cung bị chặn hoàn toàn.</t>
        </is>
      </c>
      <c r="J11" s="134" t="inlineStr">
        <is>
          <t>Pass</t>
        </is>
      </c>
      <c r="K11" s="24" t="inlineStr">
        <is>
          <t>High</t>
        </is>
      </c>
      <c r="L11" s="38" t="n"/>
    </row>
    <row r="12" ht="41.4" customFormat="1" customHeight="1" s="26">
      <c r="A12" s="19" t="n">
        <v>8</v>
      </c>
      <c r="B12" s="20" t="inlineStr">
        <is>
          <t>TC_RULE_008</t>
        </is>
      </c>
      <c r="C12" s="38" t="inlineStr">
        <is>
          <t>Quân Tượng</t>
        </is>
      </c>
      <c r="D12" s="38" t="inlineStr">
        <is>
          <t>Tượng di chuyển chéo đúng 2 ô (hình chữ điền)</t>
        </is>
      </c>
      <c r="E12" s="38" t="inlineStr">
        <is>
          <t>Tượng Đỏ tại c1</t>
        </is>
      </c>
      <c r="F12" s="38" t="inlineStr">
        <is>
          <t>1. Chọn Tượng tại c1
2. Di chuyển chéo 2 ô lên e3 (không có quân cản mắt)</t>
        </is>
      </c>
      <c r="G12" s="38" t="inlineStr">
        <is>
          <t>Nước đi: c1-e3</t>
        </is>
      </c>
      <c r="H12" s="38" t="inlineStr">
        <is>
          <t>Quân Tượng di chuyển hợp lệ sang e3.</t>
        </is>
      </c>
      <c r="I12" s="23" t="inlineStr">
        <is>
          <t>Tượng di chuyển chéo đúng 2 ô hình chữ điền (c1-e3 / row 9 col 2 -&gt; row 7 col 4).</t>
        </is>
      </c>
      <c r="J12" s="134" t="inlineStr">
        <is>
          <t>Pass</t>
        </is>
      </c>
      <c r="K12" s="24" t="inlineStr">
        <is>
          <t>High</t>
        </is>
      </c>
      <c r="L12" s="38" t="n"/>
    </row>
    <row r="13" ht="41.4" customFormat="1" customHeight="1" s="26">
      <c r="A13" s="19" t="n">
        <v>9</v>
      </c>
      <c r="B13" s="20" t="inlineStr">
        <is>
          <t>TC_RULE_009</t>
        </is>
      </c>
      <c r="C13" s="38" t="inlineStr">
        <is>
          <t>Quân Tượng</t>
        </is>
      </c>
      <c r="D13" s="38" t="inlineStr">
        <is>
          <t>Tượng không được phép qua sông sang phần sân đối phương</t>
        </is>
      </c>
      <c r="E13" s="38" t="inlineStr">
        <is>
          <t>Tượng Đỏ tại e5 (ngay sát bờ sông)</t>
        </is>
      </c>
      <c r="F13" s="38" t="inlineStr">
        <is>
          <t>1. Chọn Tượng tại e5
2. Cố gắng di chuyển chéo 2 ô qua sông sang c7 hoặc g7</t>
        </is>
      </c>
      <c r="G13" s="38" t="inlineStr">
        <is>
          <t>Nước đi qua sông: e5-g7</t>
        </is>
      </c>
      <c r="H13" s="38" t="inlineStr">
        <is>
          <t>Hệ thống không cho phép Tượng vượt qua sông theo đúng luật cờ tướng.</t>
        </is>
      </c>
      <c r="I13" s="23" t="inlineStr">
        <is>
          <t>Tượng bị chặn tại bờ sông, tuyệt đối không được phép qua sông sang phần sân đối phương.</t>
        </is>
      </c>
      <c r="J13" s="134" t="inlineStr">
        <is>
          <t>Pass</t>
        </is>
      </c>
      <c r="K13" s="24" t="inlineStr">
        <is>
          <t>High</t>
        </is>
      </c>
      <c r="L13" s="38" t="n"/>
    </row>
    <row r="14" ht="41.4" customFormat="1" customHeight="1" s="26">
      <c r="A14" s="19" t="n">
        <v>10</v>
      </c>
      <c r="B14" s="20" t="inlineStr">
        <is>
          <t>TC_RULE_010</t>
        </is>
      </c>
      <c r="C14" s="38" t="inlineStr">
        <is>
          <t>Cản mắt Tượng</t>
        </is>
      </c>
      <c r="D14" s="38" t="inlineStr">
        <is>
          <t>Tượng bị cản khi có quân đứng tại tâm chữ điền (Mắt Tượng)</t>
        </is>
      </c>
      <c r="E14" s="38" t="inlineStr">
        <is>
          <t>Tượng Đỏ c1, có một quân cờ bất kỳ đứng tại d2 (mắt Tượng)</t>
        </is>
      </c>
      <c r="F14" s="38" t="inlineStr">
        <is>
          <t>1. Chọn Tượng tại c1
2. Cố gắng di chuyển đến e3</t>
        </is>
      </c>
      <c r="G14" s="38" t="inlineStr">
        <is>
          <t>Vị trí cản: d2</t>
        </is>
      </c>
      <c r="H14" s="38" t="inlineStr">
        <is>
          <t>Nước cờ c1-e3 bị chặn (Tượng bị cản mắt), không hiển thị ô gợi ý tại e3.</t>
        </is>
      </c>
      <c r="I14" s="23" t="inlineStr">
        <is>
          <t>Khi có quân đứng tại tâm chữ điền (mắt Tượng d2), Tượng bị cản mắt và không hiển thị nước đi e3.</t>
        </is>
      </c>
      <c r="J14" s="134" t="inlineStr">
        <is>
          <t>Pass</t>
        </is>
      </c>
      <c r="K14" s="24" t="inlineStr">
        <is>
          <t>High</t>
        </is>
      </c>
      <c r="L14" s="38" t="n"/>
    </row>
    <row r="15" ht="27.6" customFormat="1" customHeight="1" s="26">
      <c r="A15" s="19" t="n">
        <v>11</v>
      </c>
      <c r="B15" s="20" t="inlineStr">
        <is>
          <t>TC_RULE_011</t>
        </is>
      </c>
      <c r="C15" s="38" t="inlineStr">
        <is>
          <t>Quân Xe</t>
        </is>
      </c>
      <c r="D15" s="38" t="inlineStr">
        <is>
          <t>Xe di chuyển ngang dọc không giới hạn khi không có vật cản</t>
        </is>
      </c>
      <c r="E15" s="38" t="inlineStr">
        <is>
          <t>Cột a hoàn toàn trống quân</t>
        </is>
      </c>
      <c r="F15" s="38" t="inlineStr">
        <is>
          <t>1. Chọn Xe tại a1
2. Di chuyển thẳng lên a9</t>
        </is>
      </c>
      <c r="G15" s="38" t="inlineStr">
        <is>
          <t>Nước đi: a1-a9</t>
        </is>
      </c>
      <c r="H15" s="38" t="inlineStr">
        <is>
          <t>Quân Xe di chuyển hợp lệ trên toàn bộ các ô trống dọc theo cột.</t>
        </is>
      </c>
      <c r="I15" s="23" t="inlineStr">
        <is>
          <t>Xe di chuyển ngang dọc không giới hạn ô khi đường đi thông thoáng (a1-a9).</t>
        </is>
      </c>
      <c r="J15" s="134" t="inlineStr">
        <is>
          <t>Pass</t>
        </is>
      </c>
      <c r="K15" s="24" t="inlineStr">
        <is>
          <t>High</t>
        </is>
      </c>
      <c r="L15" s="38" t="n"/>
    </row>
    <row r="16" ht="41.4" customFormat="1" customHeight="1" s="26">
      <c r="A16" s="19" t="n">
        <v>12</v>
      </c>
      <c r="B16" s="20" t="inlineStr">
        <is>
          <t>TC_RULE_012</t>
        </is>
      </c>
      <c r="C16" s="38" t="inlineStr">
        <is>
          <t>Quân Xe</t>
        </is>
      </c>
      <c r="D16" s="38" t="inlineStr">
        <is>
          <t>Xe ăn quân đối phương trên đường đi thẳng</t>
        </is>
      </c>
      <c r="E16" s="38" t="inlineStr">
        <is>
          <t>Xe Đỏ tại a1, Pháo Đen tại a7, không có quân nào giữa a1 và a7</t>
        </is>
      </c>
      <c r="F16" s="38" t="inlineStr">
        <is>
          <t>1. Chọn Xe tại a1
2. Chạm vào Pháo Đen tại a7</t>
        </is>
      </c>
      <c r="G16" s="38" t="inlineStr">
        <is>
          <t>Nước ăn quân: a1 x a7</t>
        </is>
      </c>
      <c r="H16" s="38" t="inlineStr">
        <is>
          <t>Pháo Đen bị loại khỏi bàn cờ, Xe Đỏ dừng lại tại vị trí a7.</t>
        </is>
      </c>
      <c r="I16" s="23" t="inlineStr">
        <is>
          <t>Xe ăn quân đối phương trên đường đi thẳng chính xác (a1 x a7), loại bỏ quân bị ăn khỏi bàn cờ.</t>
        </is>
      </c>
      <c r="J16" s="134" t="inlineStr">
        <is>
          <t>Pass</t>
        </is>
      </c>
      <c r="K16" s="24" t="inlineStr">
        <is>
          <t>High</t>
        </is>
      </c>
      <c r="L16" s="38" t="n"/>
    </row>
    <row r="17" ht="41.4" customFormat="1" customHeight="1" s="26">
      <c r="A17" s="19" t="n">
        <v>13</v>
      </c>
      <c r="B17" s="20" t="inlineStr">
        <is>
          <t>TC_RULE_013</t>
        </is>
      </c>
      <c r="C17" s="38" t="inlineStr">
        <is>
          <t>Quân Xe</t>
        </is>
      </c>
      <c r="D17" s="38" t="inlineStr">
        <is>
          <t>Xe không thể nhảy qua quân cờ khác</t>
        </is>
      </c>
      <c r="E17" s="38" t="inlineStr">
        <is>
          <t>Xe Đỏ tại a1, Tốt Đỏ tại a4, ô a7 trống</t>
        </is>
      </c>
      <c r="F17" s="38" t="inlineStr">
        <is>
          <t>1. Chọn Xe a1
2. Cố gắng di chuyển vượt qua Tốt a4 để đến a7</t>
        </is>
      </c>
      <c r="G17" s="38" t="inlineStr">
        <is>
          <t>Nước nhảy cờ: a1-a7</t>
        </is>
      </c>
      <c r="H17" s="38" t="inlineStr">
        <is>
          <t>Xe bị chặn tại a4, không thể đi tới các ô phía sau quân cản.</t>
        </is>
      </c>
      <c r="I17" s="23" t="inlineStr">
        <is>
          <t>Xe bị chặn tại vị trí quân cản a4, không thể nhảy qua quân cờ khác để tới a7.</t>
        </is>
      </c>
      <c r="J17" s="134" t="inlineStr">
        <is>
          <t>Pass</t>
        </is>
      </c>
      <c r="K17" s="24" t="inlineStr">
        <is>
          <t>High</t>
        </is>
      </c>
      <c r="L17" s="38" t="n"/>
    </row>
    <row r="18" ht="27.6" customFormat="1" customHeight="1" s="26">
      <c r="A18" s="19" t="n">
        <v>14</v>
      </c>
      <c r="B18" s="20" t="inlineStr">
        <is>
          <t>TC_RULE_014</t>
        </is>
      </c>
      <c r="C18" s="38" t="inlineStr">
        <is>
          <t>Quân Pháo</t>
        </is>
      </c>
      <c r="D18" s="38" t="inlineStr">
        <is>
          <t>Pháo di chuyển tự do khi không ăn quân giống Xe</t>
        </is>
      </c>
      <c r="E18" s="38" t="inlineStr">
        <is>
          <t>Hàng 3 trống</t>
        </is>
      </c>
      <c r="F18" s="38" t="inlineStr">
        <is>
          <t>1. Chọn Pháo b3
2. Di chuyển sang e3 (không có quân cản)</t>
        </is>
      </c>
      <c r="G18" s="38" t="inlineStr">
        <is>
          <t>Nước đi: b3-e3</t>
        </is>
      </c>
      <c r="H18" s="38" t="inlineStr">
        <is>
          <t>Pháo di chuyển hợp lệ sang e3.</t>
        </is>
      </c>
      <c r="I18" s="23" t="inlineStr">
        <is>
          <t>Pháo di chuyển tự do theo hàng ngang và cột dọc khi không ăn quân giống Xe (b3-e3).</t>
        </is>
      </c>
      <c r="J18" s="134" t="inlineStr">
        <is>
          <t>Pass</t>
        </is>
      </c>
      <c r="K18" s="24" t="inlineStr">
        <is>
          <t>High</t>
        </is>
      </c>
      <c r="L18" s="38" t="n"/>
    </row>
    <row r="19" ht="27.6" customFormat="1" customHeight="1" s="26">
      <c r="A19" s="19" t="n">
        <v>15</v>
      </c>
      <c r="B19" s="20" t="inlineStr">
        <is>
          <t>TC_RULE_015</t>
        </is>
      </c>
      <c r="C19" s="38" t="inlineStr">
        <is>
          <t>Quân Pháo</t>
        </is>
      </c>
      <c r="D19" s="38" t="inlineStr">
        <is>
          <t>Pháo ăn quân bắt buộc phải nhảy qua đúng một quân làm ngòi</t>
        </is>
      </c>
      <c r="E19" s="38" t="inlineStr">
        <is>
          <t>Pháo Đỏ b3, Mã Đỏ b5 (ngòi), Xe Đen b8</t>
        </is>
      </c>
      <c r="F19" s="38" t="inlineStr">
        <is>
          <t>1. Chọn Pháo b3
2. Chạm vào Xe Đen b8</t>
        </is>
      </c>
      <c r="G19" s="38" t="inlineStr">
        <is>
          <t>Nước ăn quân: b3 x b8 (qua ngòi b5)</t>
        </is>
      </c>
      <c r="H19" s="38" t="inlineStr">
        <is>
          <t>Ăn quân hợp lệ: Pháo nhảy qua Mã b5, dừng tại b8 và loại bỏ Xe Đen.</t>
        </is>
      </c>
      <c r="I19" s="23" t="inlineStr">
        <is>
          <t>Pháo ăn quân nhảy qua đúng 1 quân làm ngòi hợp lệ (b3 x b8 qua ngòi b5).</t>
        </is>
      </c>
      <c r="J19" s="134" t="inlineStr">
        <is>
          <t>Pass</t>
        </is>
      </c>
      <c r="K19" s="24" t="inlineStr">
        <is>
          <t>High</t>
        </is>
      </c>
      <c r="L19" s="38" t="n"/>
    </row>
    <row r="20" ht="41.4" customFormat="1" customHeight="1" s="26">
      <c r="A20" s="19" t="n">
        <v>16</v>
      </c>
      <c r="B20" s="20" t="inlineStr">
        <is>
          <t>TC_RULE_016</t>
        </is>
      </c>
      <c r="C20" s="38" t="inlineStr">
        <is>
          <t>Quân Pháo</t>
        </is>
      </c>
      <c r="D20" s="38" t="inlineStr">
        <is>
          <t>Pháo không thể ăn quân nếu không có ngòi hoặc có từ 2 ngòi trở lên</t>
        </is>
      </c>
      <c r="E20" s="38" t="inlineStr">
        <is>
          <t>Pháo b3, giữa b3 và Xe b9 có 2 quân cờ (b5 và b7)</t>
        </is>
      </c>
      <c r="F20" s="38" t="inlineStr">
        <is>
          <t>1. Chọn Pháo b3
2. Cố gắng ăn Xe b9</t>
        </is>
      </c>
      <c r="G20" s="38" t="inlineStr">
        <is>
          <t>2 ngòi cản trở</t>
        </is>
      </c>
      <c r="H20" s="38" t="inlineStr">
        <is>
          <t>Hệ thống từ chối nước đi, chỉ cho phép ăn khi có DUY NHẤT 1 ngòi.</t>
        </is>
      </c>
      <c r="I20" s="23" t="inlineStr">
        <is>
          <t>Pháo không thể ăn quân nếu không có ngòi hoặc có từ 2 ngòi trở lên trên đường ngắm.</t>
        </is>
      </c>
      <c r="J20" s="134" t="inlineStr">
        <is>
          <t>Pass</t>
        </is>
      </c>
      <c r="K20" s="24" t="inlineStr">
        <is>
          <t>High</t>
        </is>
      </c>
      <c r="L20" s="38" t="n"/>
    </row>
    <row r="21" ht="27.6" customFormat="1" customHeight="1" s="26">
      <c r="A21" s="19" t="n">
        <v>17</v>
      </c>
      <c r="B21" s="20" t="inlineStr">
        <is>
          <t>TC_RULE_017</t>
        </is>
      </c>
      <c r="C21" s="38" t="inlineStr">
        <is>
          <t>Quân Mã</t>
        </is>
      </c>
      <c r="D21" s="38" t="inlineStr">
        <is>
          <t>Mã di chuyển theo đường nhật 1x2 (1 ô thẳng + 1 ô chéo)</t>
        </is>
      </c>
      <c r="E21" s="38" t="inlineStr">
        <is>
          <t>Mã Đỏ tại b1</t>
        </is>
      </c>
      <c r="F21" s="38" t="inlineStr">
        <is>
          <t>1. Chọn Mã b1
2. Di chuyển lên c3 (ô b2 trống)</t>
        </is>
      </c>
      <c r="G21" s="38" t="inlineStr">
        <is>
          <t>Nước đi: b1-c3</t>
        </is>
      </c>
      <c r="H21" s="38" t="inlineStr">
        <is>
          <t>Mã nhảy hợp lệ lên c3.</t>
        </is>
      </c>
      <c r="I21" s="23" t="inlineStr">
        <is>
          <t>Mã nhảy theo đường nhật 1x2 (1 ô thẳng + 1 ô chéo, b1 lên c3) chính xác.</t>
        </is>
      </c>
      <c r="J21" s="134" t="inlineStr">
        <is>
          <t>Pass</t>
        </is>
      </c>
      <c r="K21" s="24" t="inlineStr">
        <is>
          <t>High</t>
        </is>
      </c>
      <c r="L21" s="38" t="n"/>
    </row>
    <row r="22" ht="27.6" customFormat="1" customHeight="1" s="26">
      <c r="A22" s="19" t="n">
        <v>18</v>
      </c>
      <c r="B22" s="20" t="inlineStr">
        <is>
          <t>TC_RULE_018</t>
        </is>
      </c>
      <c r="C22" s="38" t="inlineStr">
        <is>
          <t>Cản chân Mã</t>
        </is>
      </c>
      <c r="D22" s="38" t="inlineStr">
        <is>
          <t>Cản chân Mã khi có quân đứng ngay sát hướng đi thẳng</t>
        </is>
      </c>
      <c r="E22" s="38" t="inlineStr">
        <is>
          <t>Mã Đỏ tại b1, có quân cờ đứng tại b2</t>
        </is>
      </c>
      <c r="F22" s="38" t="inlineStr">
        <is>
          <t>1. Chọn Mã b1
2. Cố gắng di chuyển lên a3 hoặc c3</t>
        </is>
      </c>
      <c r="G22" s="38" t="inlineStr">
        <is>
          <t>Quân cản tại b2</t>
        </is>
      </c>
      <c r="H22" s="38" t="inlineStr">
        <is>
          <t>Mã bị cản chân tại b2, cả 2 ô a3 và c3 đều không thể đi được.</t>
        </is>
      </c>
      <c r="I22" s="23" t="inlineStr">
        <is>
          <t>Khi có quân đứng tại b2 sát chân Mã, Mã bị cản chân và cả 2 ô a3, c3 đều bị vô hiệu hóa.</t>
        </is>
      </c>
      <c r="J22" s="134" t="inlineStr">
        <is>
          <t>Pass</t>
        </is>
      </c>
      <c r="K22" s="24" t="inlineStr">
        <is>
          <t>High</t>
        </is>
      </c>
      <c r="L22" s="38" t="n"/>
    </row>
    <row r="23" ht="41.4" customFormat="1" customHeight="1" s="26">
      <c r="A23" s="19" t="n">
        <v>19</v>
      </c>
      <c r="B23" s="20" t="inlineStr">
        <is>
          <t>TC_RULE_019</t>
        </is>
      </c>
      <c r="C23" s="38" t="inlineStr">
        <is>
          <t>Quân Tốt</t>
        </is>
      </c>
      <c r="D23" s="38" t="inlineStr">
        <is>
          <t>Tốt chưa qua sông chỉ được phép tiến thẳng 1 ô</t>
        </is>
      </c>
      <c r="E23" s="38" t="inlineStr">
        <is>
          <t>Tốt Đỏ tại c4 (chưa qua sông)</t>
        </is>
      </c>
      <c r="F23" s="38" t="inlineStr">
        <is>
          <t>1. Chọn Tốt c4
2. Di chuyển tiến thẳng lên c5
3. Thử đi ngang sang b4 hoặc d4</t>
        </is>
      </c>
      <c r="G23" s="38" t="inlineStr">
        <is>
          <t>Nước đi: c4-c5</t>
        </is>
      </c>
      <c r="H23" s="38" t="inlineStr">
        <is>
          <t>Chỉ cho phép đi thẳng c4-c5, không cho phép đi ngang khi chưa qua sông.</t>
        </is>
      </c>
      <c r="I23" s="23" t="inlineStr">
        <is>
          <t>Tốt chưa qua sông chỉ được phép tiến thẳng 1 ô (c4-c5), không được đi ngang.</t>
        </is>
      </c>
      <c r="J23" s="134" t="inlineStr">
        <is>
          <t>Pass</t>
        </is>
      </c>
      <c r="K23" s="24" t="inlineStr">
        <is>
          <t>High</t>
        </is>
      </c>
      <c r="L23" s="38" t="n"/>
    </row>
    <row r="24" ht="41.4" customFormat="1" customHeight="1" s="26">
      <c r="A24" s="19" t="n">
        <v>20</v>
      </c>
      <c r="B24" s="20" t="inlineStr">
        <is>
          <t>TC_RULE_020</t>
        </is>
      </c>
      <c r="C24" s="38" t="inlineStr">
        <is>
          <t>Quân Tốt</t>
        </is>
      </c>
      <c r="D24" s="38" t="inlineStr">
        <is>
          <t>Tốt đã qua sông được phép tiến thẳng hoặc đi ngang 1 ô</t>
        </is>
      </c>
      <c r="E24" s="38" t="inlineStr">
        <is>
          <t>Tốt Đỏ tại c6 (đã qua sông)</t>
        </is>
      </c>
      <c r="F24" s="38" t="inlineStr">
        <is>
          <t>1. Chọn Tốt c6
2. Di chuyển ngang sang d6 hoặc tiến lên c7</t>
        </is>
      </c>
      <c r="G24" s="38" t="inlineStr">
        <is>
          <t>Nước đi: c6-d6 hoặc c6-c7</t>
        </is>
      </c>
      <c r="H24" s="38" t="inlineStr">
        <is>
          <t>Cả 3 ô (tiến, sang trái, sang phải) đều hợp lệ.</t>
        </is>
      </c>
      <c r="I24" s="23" t="inlineStr">
        <is>
          <t>Tốt đã qua sông được phép tiến thẳng hoặc đi ngang 1 ô (c6-d6 hoặc c6-c7).</t>
        </is>
      </c>
      <c r="J24" s="134" t="inlineStr">
        <is>
          <t>Pass</t>
        </is>
      </c>
      <c r="K24" s="24" t="inlineStr">
        <is>
          <t>High</t>
        </is>
      </c>
      <c r="L24" s="38" t="n"/>
    </row>
    <row r="25" ht="27.6" customFormat="1" customHeight="1" s="26">
      <c r="A25" s="19" t="n">
        <v>21</v>
      </c>
      <c r="B25" s="20" t="inlineStr">
        <is>
          <t>TC_RULE_021</t>
        </is>
      </c>
      <c r="C25" s="38" t="inlineStr">
        <is>
          <t>Quân Tốt</t>
        </is>
      </c>
      <c r="D25" s="38" t="inlineStr">
        <is>
          <t>Tốt không bao giờ được phép đi lùi</t>
        </is>
      </c>
      <c r="E25" s="38" t="inlineStr">
        <is>
          <t>Tốt tại c6</t>
        </is>
      </c>
      <c r="F25" s="38" t="inlineStr">
        <is>
          <t>1. Chọn Tốt c6
2. Cố gắng di chuyển lùi về c5</t>
        </is>
      </c>
      <c r="G25" s="38" t="inlineStr">
        <is>
          <t>Nước đi lùi: c6-c5</t>
        </is>
      </c>
      <c r="H25" s="38" t="inlineStr">
        <is>
          <t>Hệ thống từ chối nước đi lùi của quân Tốt.</t>
        </is>
      </c>
      <c r="I25" s="23" t="inlineStr">
        <is>
          <t>Tốt tuyệt đối không bao giờ được phép đi lùi (c6 về c5 bị từ chối).</t>
        </is>
      </c>
      <c r="J25" s="134" t="inlineStr">
        <is>
          <t>Pass</t>
        </is>
      </c>
      <c r="K25" s="24" t="inlineStr">
        <is>
          <t>High</t>
        </is>
      </c>
      <c r="L25" s="38" t="n"/>
    </row>
    <row r="26" ht="69" customFormat="1" customHeight="1" s="26">
      <c r="A26" s="19" t="n">
        <v>22</v>
      </c>
      <c r="B26" s="20" t="inlineStr">
        <is>
          <t>TC_RULE_022</t>
        </is>
      </c>
      <c r="C26" s="38" t="inlineStr">
        <is>
          <t>Chiếu Tướng</t>
        </is>
      </c>
      <c r="D26" s="38" t="inlineStr">
        <is>
          <t>Bắt buộc giải chiếu (In-Check) khi Tướng bị tấn công</t>
        </is>
      </c>
      <c r="E26" s="38" t="inlineStr">
        <is>
          <t>Xe Đen đang chiếu Tướng Đỏ</t>
        </is>
      </c>
      <c r="F26" s="38" t="inlineStr">
        <is>
          <t>1. Cố gắng di chuyển một quân cờ khác không có tác dụng giải chiếu (ví dụ: Tốt c4-c5)
2. Kiểm tra phản hồi</t>
        </is>
      </c>
      <c r="G26" s="38" t="inlineStr">
        <is>
          <t>Tình huống bị chiếu</t>
        </is>
      </c>
      <c r="H26" s="38" t="inlineStr">
        <is>
          <t>Hệ thống chặn nước đi không giải chiếu và phát cảnh báo âm thanh/rung "Tướng đang bị chiếu!". Chỉ cho phép: Ăn quân chiếu, Chạy tướng, hoặc Cản đường chiếu.</t>
        </is>
      </c>
      <c r="I26" s="23" t="inlineStr">
        <is>
          <t>Hệ thống phát hiện trạng thái In-Check và bắt buộc người chơi phải giải chiếu (chạy tướng, ăn quân chiếu, hoặc cản).</t>
        </is>
      </c>
      <c r="J26" s="134" t="inlineStr">
        <is>
          <t>Pass</t>
        </is>
      </c>
      <c r="K26" s="24" t="inlineStr">
        <is>
          <t>High</t>
        </is>
      </c>
      <c r="L26" s="38" t="n"/>
    </row>
    <row r="27" ht="55.2" customFormat="1" customHeight="1" s="26">
      <c r="A27" s="19" t="n">
        <v>23</v>
      </c>
      <c r="B27" s="20" t="inlineStr">
        <is>
          <t>TC_RULE_023</t>
        </is>
      </c>
      <c r="C27" s="38" t="inlineStr">
        <is>
          <t>Chiếu Bí</t>
        </is>
      </c>
      <c r="D27" s="38" t="inlineStr">
        <is>
          <t>Phát hiện Chiếu bí (Checkmate) và xử kết thúc trận đấu</t>
        </is>
      </c>
      <c r="E27" s="38" t="inlineStr">
        <is>
          <t>Đỏ đi nước Xe chiếu góc, Đen không còn nước đi nào hóa giải được</t>
        </is>
      </c>
      <c r="F27" s="38" t="inlineStr">
        <is>
          <t>1. Đỏ đi nước cờ chiếu bí
2. Quan sát kết quả xử lý</t>
        </is>
      </c>
      <c r="G27" s="38" t="inlineStr">
        <is>
          <t>Thế cờ sát cục chiếu bí</t>
        </is>
      </c>
      <c r="H27" s="38" t="inlineStr">
        <is>
          <t>Bàn cờ dừng trận ngay lập tức, hiển thị bảng thông báo "Đỏ Thắng (Chiếu Bí)", cập nhật kết quả vào CSDL và cộng điểm Elo.</t>
        </is>
      </c>
      <c r="I27" s="23" t="inlineStr">
        <is>
          <t>Phát hiện Chiếu bí (Checkmate), dừng trận đấu ngay lập tức, thông báo Đỏ Thắng và cộng điểm Elo.</t>
        </is>
      </c>
      <c r="J27" s="134" t="inlineStr">
        <is>
          <t>Pass</t>
        </is>
      </c>
      <c r="K27" s="24" t="inlineStr">
        <is>
          <t>High</t>
        </is>
      </c>
      <c r="L27" s="38" t="n"/>
    </row>
    <row r="28" ht="41.4" customFormat="1" customHeight="1" s="26">
      <c r="A28" s="19" t="n">
        <v>24</v>
      </c>
      <c r="B28" s="20" t="inlineStr">
        <is>
          <t>TC_RULE_024</t>
        </is>
      </c>
      <c r="C28" s="38" t="inlineStr">
        <is>
          <t>Hết nước đi</t>
        </is>
      </c>
      <c r="D28" s="38" t="inlineStr">
        <is>
          <t>Phát hiện Hết nước đi (Stalemate / Chết ngộp)</t>
        </is>
      </c>
      <c r="E28" s="38" t="inlineStr">
        <is>
          <t>Đến lượt Đen nhưng Đen không bị chiếu và không có bất kỳ nước đi hợp lệ nào</t>
        </is>
      </c>
      <c r="F28" s="38" t="inlineStr">
        <is>
          <t>1. Đỏ đi nước cờ cô lập toàn bộ quân Đen
2. Chuyển lượt sang Đen</t>
        </is>
      </c>
      <c r="G28" s="38" t="inlineStr">
        <is>
          <t>Thế cờ chết ngộp</t>
        </is>
      </c>
      <c r="H28" s="38" t="inlineStr">
        <is>
          <t>Hệ thống nhận diện trạng thái hết nước đi và xử lý theo luật chuẩn (xử thua hoặc hòa theo cấu hình).</t>
        </is>
      </c>
      <c r="I28" s="23" t="inlineStr">
        <is>
          <t>Nhận diện thế cờ chết ngộp (Stalemate) và xử lý phân định kết quả theo luật cờ chuẩn.</t>
        </is>
      </c>
      <c r="J28" s="134" t="inlineStr">
        <is>
          <t>Pass</t>
        </is>
      </c>
      <c r="K28" s="24" t="inlineStr">
        <is>
          <t>High</t>
        </is>
      </c>
      <c r="L28" s="38" t="n"/>
    </row>
    <row r="29" ht="41.4" customFormat="1" customHeight="1" s="26">
      <c r="A29" s="19" t="n">
        <v>25</v>
      </c>
      <c r="B29" s="20" t="inlineStr">
        <is>
          <t>TC_RULE_025</t>
        </is>
      </c>
      <c r="C29" s="38" t="inlineStr">
        <is>
          <t>Chiếu lặp dai</t>
        </is>
      </c>
      <c r="D29" s="38" t="inlineStr">
        <is>
          <t>Luật cấm chiếu lặp dai (Perpetual Check)</t>
        </is>
      </c>
      <c r="E29" s="38" t="inlineStr">
        <is>
          <t>Một bên dùng 1 hoặc 2 quân chiếu liên tục lặp lại cùng một chu kỳ 3 lần</t>
        </is>
      </c>
      <c r="F29" s="38" t="inlineStr">
        <is>
          <t>1. Chiếu tướng lần 1 -&gt; Đổi nước
2. Chiếu tướng lần 2 lặp lại
3. Chiếu tướng lần 3 cùng trạng thái</t>
        </is>
      </c>
      <c r="G29" s="38" t="inlineStr">
        <is>
          <t>Chiếu lặp 3 lần</t>
        </is>
      </c>
      <c r="H29" s="38" t="inlineStr">
        <is>
          <t>Hệ thống cảnh báo lỗi chiếu dai, bên liên tục chiếu bắt buộc phải đổi nước đi khác hoặc bị xử thua.</t>
        </is>
      </c>
      <c r="I29" s="23" t="inlineStr">
        <is>
          <t>Cảnh báo lỗi chiếu lặp dai 3 lần liên tiếp, yêu cầu đổi nước đi hoặc xử thua.</t>
        </is>
      </c>
      <c r="J29" s="134" t="inlineStr">
        <is>
          <t>Pass</t>
        </is>
      </c>
      <c r="K29" s="25" t="inlineStr">
        <is>
          <t>Medium</t>
        </is>
      </c>
      <c r="L29" s="38" t="n"/>
    </row>
    <row r="30" ht="55.2" customFormat="1" customHeight="1" s="26">
      <c r="A30" s="19" t="n">
        <v>26</v>
      </c>
      <c r="B30" s="20" t="inlineStr">
        <is>
          <t>TC_RULE_026</t>
        </is>
      </c>
      <c r="C30" s="38" t="inlineStr">
        <is>
          <t>Hòa cờ</t>
        </is>
      </c>
      <c r="D30" s="38" t="inlineStr">
        <is>
          <t>Luật 60 nước đi không ăn quân tự động đề xuất hòa</t>
        </is>
      </c>
      <c r="E30" s="38" t="inlineStr">
        <is>
          <t>Trận đấu trải qua 60 nước đi liên tiếp của cả hai bên mà không có bất kỳ quân nào bị ăn</t>
        </is>
      </c>
      <c r="F30" s="38" t="inlineStr">
        <is>
          <t>1. Tiếp tục ván cờ tới nước thứ 60 không ăn quân
2. Quan sát thông báo hệ thống</t>
        </is>
      </c>
      <c r="G30" s="38" t="inlineStr">
        <is>
          <t>60 nước không ăn quân</t>
        </is>
      </c>
      <c r="H30" s="38" t="inlineStr">
        <is>
          <t>Hệ thống tự động kích hoạt thông báo Hòa cờ (Draw by 60-move rule).</t>
        </is>
      </c>
      <c r="I30" s="23" t="inlineStr">
        <is>
          <t>Kích hoạt đề xuất hòa cờ tự động khi ván đấu chạm mốc 60 nước liên tiếp không có quân nào bị ăn.</t>
        </is>
      </c>
      <c r="J30" s="134" t="inlineStr">
        <is>
          <t>Pass</t>
        </is>
      </c>
      <c r="K30" s="25" t="inlineStr">
        <is>
          <t>Medium</t>
        </is>
      </c>
      <c r="L30" s="38" t="n"/>
    </row>
  </sheetData>
  <mergeCells count="2">
    <mergeCell ref="A2:L2"/>
    <mergeCell ref="A1:L1"/>
  </mergeCells>
  <dataValidations count="1">
    <dataValidation sqref="J5:J30"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22"/>
  <sheetViews>
    <sheetView workbookViewId="0">
      <selection activeCell="A5" sqref="A5:XFD22"/>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CÁC CHẾ ĐỘ CHƠI &amp; ĐẤU MÁY AI (GAMEPLAY &amp; AI MODES)</t>
        </is>
      </c>
    </row>
    <row r="2" ht="18" customHeight="1" s="34">
      <c r="A2" s="61" t="inlineStr">
        <is>
          <t>Kiểm tra Chơi 2 người (Pass &amp; Play), Đấu Máy AI 4 cấp độ, AI vs AI, Board Editor, FEN, Undo, Hint</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41.4" customFormat="1" customHeight="1" s="26">
      <c r="A5" s="19" t="n">
        <v>1</v>
      </c>
      <c r="B5" s="20" t="inlineStr">
        <is>
          <t>TC_GAME_001</t>
        </is>
      </c>
      <c r="C5" s="38" t="inlineStr">
        <is>
          <t>Pass &amp; Play</t>
        </is>
      </c>
      <c r="D5" s="38" t="inlineStr">
        <is>
          <t>Khởi tạo trận chơi 2 người trên cùng thiết bị</t>
        </is>
      </c>
      <c r="E5" s="38" t="inlineStr">
        <is>
          <t>Tại sảnh chọn chế độ chơi</t>
        </is>
      </c>
      <c r="F5" s="38" t="inlineStr">
        <is>
          <t>1. Chọn chế độ "Chơi 2 người (Pass &amp; Play)"
2. Bấm Bắt đầu</t>
        </is>
      </c>
      <c r="G5" s="38" t="inlineStr">
        <is>
          <t>Chế độ 2 người</t>
        </is>
      </c>
      <c r="H5" s="38" t="inlineStr">
        <is>
          <t>Khởi tạo bàn cờ mới đầy đủ 32 quân, Đỏ đi trước, không có đồng hồ giới hạn nếu không cài đặt.</t>
        </is>
      </c>
      <c r="I5" s="23" t="inlineStr">
        <is>
          <t>Khởi tạo bàn cờ mới đầy đủ 32 quân trong chế độ Pass &amp; Play, Đỏ đi trước, không giới hạn giờ.</t>
        </is>
      </c>
      <c r="J5" s="134" t="inlineStr">
        <is>
          <t>Pass</t>
        </is>
      </c>
      <c r="K5" s="24" t="inlineStr">
        <is>
          <t>High</t>
        </is>
      </c>
      <c r="L5" s="38" t="inlineStr">
        <is>
          <t>BUG_017 (Đã fix ở Chu kỳ 2 - Commit 65ae81d)</t>
        </is>
      </c>
    </row>
    <row r="6" ht="41.4" customFormat="1" customHeight="1" s="26">
      <c r="A6" s="19" t="n">
        <v>2</v>
      </c>
      <c r="B6" s="20" t="inlineStr">
        <is>
          <t>TC_GAME_002</t>
        </is>
      </c>
      <c r="C6" s="38" t="inlineStr">
        <is>
          <t>Pass &amp; Play</t>
        </is>
      </c>
      <c r="D6" s="38" t="inlineStr">
        <is>
          <t>Chuyển lượt đi tuần tự giữa bên Đỏ và bên Đen</t>
        </is>
      </c>
      <c r="E6" s="38" t="inlineStr">
        <is>
          <t>Bàn cờ Pass &amp; Play đang diễn ra</t>
        </is>
      </c>
      <c r="F6" s="38" t="inlineStr">
        <is>
          <t>1. Đỏ đi nước cờ đầu tiên (Pháo 2 bình 5)
2. Kiểm tra lượt tiếp theo</t>
        </is>
      </c>
      <c r="G6" s="38" t="inlineStr">
        <is>
          <t>Nước đi: b3-e3</t>
        </is>
      </c>
      <c r="H6" s="38" t="inlineStr">
        <is>
          <t>Đồng hồ hoặc chỉ báo lượt chuyển sang bên Đen, chỉ cho phép chọn quân Đen.</t>
        </is>
      </c>
      <c r="I6" s="23" t="inlineStr">
        <is>
          <t>Lượt chơi luân phiên tuần tự: Sau khi Đỏ đi Pháo 2 bình 5, lượt và đồng hồ chuyển sang bên Đen.</t>
        </is>
      </c>
      <c r="J6" s="134" t="inlineStr">
        <is>
          <t>Pass</t>
        </is>
      </c>
      <c r="K6" s="24" t="inlineStr">
        <is>
          <t>High</t>
        </is>
      </c>
      <c r="L6" s="38" t="n"/>
    </row>
    <row r="7" ht="41.4" customFormat="1" customHeight="1" s="26">
      <c r="A7" s="19" t="n">
        <v>3</v>
      </c>
      <c r="B7" s="20" t="inlineStr">
        <is>
          <t>TC_GAME_003</t>
        </is>
      </c>
      <c r="C7" s="38" t="inlineStr">
        <is>
          <t>Đấu với AI</t>
        </is>
      </c>
      <c r="D7" s="38" t="inlineStr">
        <is>
          <t>Đấu với Máy AI - Cấp độ 1 (Dễ / Nhập môn)</t>
        </is>
      </c>
      <c r="E7" s="38" t="inlineStr">
        <is>
          <t>Chọn chế độ Đấu với Máy AI</t>
        </is>
      </c>
      <c r="F7" s="38" t="inlineStr">
        <is>
          <t>1. Chọn Độ khó: Dễ (Depth 1)
2. Chọn phe Đỏ
3. Đi nước đầu tiên</t>
        </is>
      </c>
      <c r="G7" s="38" t="inlineStr">
        <is>
          <t>Depth=1</t>
        </is>
      </c>
      <c r="H7" s="38" t="inlineStr">
        <is>
          <t>AI phản hồi nước đi hợp lệ cực nhanh (&lt; 300ms), nước đi mang tính ngẫu nhiên/căn bản.</t>
        </is>
      </c>
      <c r="I7" s="23" t="inlineStr">
        <is>
          <t>AI Cấp độ 1 (Dễ - Depth 1) phản hồi nước đi hợp lệ cực nhanh (&lt; 250ms).</t>
        </is>
      </c>
      <c r="J7" s="134" t="inlineStr">
        <is>
          <t>Pass</t>
        </is>
      </c>
      <c r="K7" s="24" t="inlineStr">
        <is>
          <t>High</t>
        </is>
      </c>
      <c r="L7" s="38" t="n"/>
    </row>
    <row r="8" ht="41.4" customFormat="1" customHeight="1" s="26">
      <c r="A8" s="19" t="n">
        <v>4</v>
      </c>
      <c r="B8" s="20" t="inlineStr">
        <is>
          <t>TC_GAME_004</t>
        </is>
      </c>
      <c r="C8" s="38" t="inlineStr">
        <is>
          <t>Đấu với AI</t>
        </is>
      </c>
      <c r="D8" s="38" t="inlineStr">
        <is>
          <t>Đấu với Máy AI - Cấp độ 2 (Vừa / Trung cấp)</t>
        </is>
      </c>
      <c r="E8" s="38" t="inlineStr">
        <is>
          <t>Chọn chế độ Đấu với Máy AI</t>
        </is>
      </c>
      <c r="F8" s="38" t="inlineStr">
        <is>
          <t>1. Chọn Độ khó: Vừa (Depth 2)
2. Đi cờ và quan sát</t>
        </is>
      </c>
      <c r="G8" s="38" t="inlineStr">
        <is>
          <t>Depth=2</t>
        </is>
      </c>
      <c r="H8" s="38" t="inlineStr">
        <is>
          <t>AI tính toán nước đi trong 500ms - 1s, biết ăn quân có lợi và tránh quân nguy hiểm.</t>
        </is>
      </c>
      <c r="I8" s="23" t="inlineStr">
        <is>
          <t>AI Cấp độ 2 (Vừa - Depth 2) tính toán trong 600ms, biết ăn quân có lợi và tránh vùng nguy hiểm.</t>
        </is>
      </c>
      <c r="J8" s="134" t="inlineStr">
        <is>
          <t>Pass</t>
        </is>
      </c>
      <c r="K8" s="24" t="inlineStr">
        <is>
          <t>High</t>
        </is>
      </c>
      <c r="L8" s="38" t="n"/>
    </row>
    <row r="9" ht="41.4" customFormat="1" customHeight="1" s="26">
      <c r="A9" s="19" t="n">
        <v>5</v>
      </c>
      <c r="B9" s="20" t="inlineStr">
        <is>
          <t>TC_GAME_005</t>
        </is>
      </c>
      <c r="C9" s="38" t="inlineStr">
        <is>
          <t>Đấu với AI</t>
        </is>
      </c>
      <c r="D9" s="38" t="inlineStr">
        <is>
          <t>Đấu với Máy AI - Cấp độ 3 (Khó / Cao thủ)</t>
        </is>
      </c>
      <c r="E9" s="38" t="inlineStr">
        <is>
          <t>Chọn chế độ Đấu với Máy AI</t>
        </is>
      </c>
      <c r="F9" s="38" t="inlineStr">
        <is>
          <t>1. Chọn Độ khó: Khó (Depth 3)
2. Thi đấu qua 10 nước khai cuộc</t>
        </is>
      </c>
      <c r="G9" s="38" t="inlineStr">
        <is>
          <t>Depth=3</t>
        </is>
      </c>
      <c r="H9" s="38" t="inlineStr">
        <is>
          <t>AI áp dụng thuật toán Alpha-Beta, biết chiếm trung lộ, xuất Xe nhanh và phản kích.</t>
        </is>
      </c>
      <c r="I9" s="23" t="inlineStr">
        <is>
          <t>AI Cấp độ 3 (Khó - Depth 3) sử dụng Alpha-Beta Pruning, biết tranh giành trung lộ và xuất Xe nhanh.</t>
        </is>
      </c>
      <c r="J9" s="134" t="inlineStr">
        <is>
          <t>Pass</t>
        </is>
      </c>
      <c r="K9" s="24" t="inlineStr">
        <is>
          <t>High</t>
        </is>
      </c>
      <c r="L9" s="38" t="n"/>
    </row>
    <row r="10" ht="55.2" customFormat="1" customHeight="1" s="26">
      <c r="A10" s="19" t="n">
        <v>6</v>
      </c>
      <c r="B10" s="20" t="inlineStr">
        <is>
          <t>TC_GAME_006</t>
        </is>
      </c>
      <c r="C10" s="38" t="inlineStr">
        <is>
          <t>Đấu với AI</t>
        </is>
      </c>
      <c r="D10" s="38" t="inlineStr">
        <is>
          <t>Đấu với Máy AI - Cấp độ 4 (Đại sư / Master)</t>
        </is>
      </c>
      <c r="E10" s="38" t="inlineStr">
        <is>
          <t>Chọn chế độ Đấu với Máy AI</t>
        </is>
      </c>
      <c r="F10" s="38" t="inlineStr">
        <is>
          <t>1. Chọn Độ khó: Đại sư (Depth 4)
2. Quan sát hiệu năng tính toán</t>
        </is>
      </c>
      <c r="G10" s="38" t="inlineStr">
        <is>
          <t>Depth=4, Quiescence Search</t>
        </is>
      </c>
      <c r="H10" s="38" t="inlineStr">
        <is>
          <t>AI tính toán sâu 4 nước đi, sử dụng Transposition Table và tìm kiếm tĩnh (Quiescence), nước đi cực kỳ chuẩn xác.</t>
        </is>
      </c>
      <c r="I10" s="23" t="inlineStr">
        <is>
          <t>AI Cấp độ 4 (Đại sư - Depth 4) duyệt sâu 4 nước, kết hợp Transposition Table và Quiescence Search chính xác.</t>
        </is>
      </c>
      <c r="J10" s="134" t="inlineStr">
        <is>
          <t>Pass</t>
        </is>
      </c>
      <c r="K10" s="24" t="inlineStr">
        <is>
          <t>High</t>
        </is>
      </c>
      <c r="L10" s="38" t="n"/>
    </row>
    <row r="11" ht="41.4" customFormat="1" customHeight="1" s="26">
      <c r="A11" s="19" t="n">
        <v>7</v>
      </c>
      <c r="B11" s="20" t="inlineStr">
        <is>
          <t>TC_GAME_007</t>
        </is>
      </c>
      <c r="C11" s="38" t="inlineStr">
        <is>
          <t>Đấu với AI</t>
        </is>
      </c>
      <c r="D11" s="38" t="inlineStr">
        <is>
          <t>Chọn phe Đen (đi sau) khi đấu với Máy AI</t>
        </is>
      </c>
      <c r="E11" s="38" t="inlineStr">
        <is>
          <t>Menu chọn bên Đỏ / Đen</t>
        </is>
      </c>
      <c r="F11" s="38" t="inlineStr">
        <is>
          <t>1. Chọn cầm quân Đen
2. Bấm Bắt đầu ván cờ</t>
        </is>
      </c>
      <c r="G11" s="38" t="inlineStr">
        <is>
          <t>Phe: Đen</t>
        </is>
      </c>
      <c r="H11" s="38" t="inlineStr">
        <is>
          <t>Bàn cờ tự động xoay góc nhìn quân Đen ở dưới, AI Đỏ tự động đi nước cờ đầu tiên ngay sau khi tải bàn.</t>
        </is>
      </c>
      <c r="I11" s="23" t="inlineStr">
        <is>
          <t>Khi chọn phe Đen, bàn cờ tự động đảo góc nhìn quân Đen ở dưới và Bot Đỏ tự động đi nước cờ mở màn.</t>
        </is>
      </c>
      <c r="J11" s="134" t="inlineStr">
        <is>
          <t>Pass</t>
        </is>
      </c>
      <c r="K11" s="24" t="inlineStr">
        <is>
          <t>High</t>
        </is>
      </c>
      <c r="L11" s="38" t="n"/>
    </row>
    <row r="12" ht="41.4" customFormat="1" customHeight="1" s="26">
      <c r="A12" s="19" t="n">
        <v>8</v>
      </c>
      <c r="B12" s="20" t="inlineStr">
        <is>
          <t>TC_GAME_008</t>
        </is>
      </c>
      <c r="C12" s="38" t="inlineStr">
        <is>
          <t>AI vs AI</t>
        </is>
      </c>
      <c r="D12" s="38" t="inlineStr">
        <is>
          <t>Chế độ AI vs AI - Thiết lập Depth riêng biệt cho 2 Bot</t>
        </is>
      </c>
      <c r="E12" s="38" t="inlineStr">
        <is>
          <t>Chọn chế độ AI vs AI</t>
        </is>
      </c>
      <c r="F12" s="38" t="inlineStr">
        <is>
          <t>1. Đặt Red Bot: Depth 3
2. Đặt Black Bot: Depth 2
3. Bấm Bắt đầu mô phỏng</t>
        </is>
      </c>
      <c r="G12" s="38" t="inlineStr">
        <is>
          <t>Red=3, Black=2</t>
        </is>
      </c>
      <c r="H12" s="38" t="inlineStr">
        <is>
          <t>Hai máy tự động đối đầu nhau tuần tự, hiển thị thông tin Depth và thời gian suy nghĩ của từng nước.</t>
        </is>
      </c>
      <c r="I12" s="23" t="inlineStr">
        <is>
          <t>Chế độ AI vs AI cho phép gán Depth riêng biệt (Red=3, Black=2) và hiển thị thời gian suy nghĩ từng nước.</t>
        </is>
      </c>
      <c r="J12" s="134" t="inlineStr">
        <is>
          <t>Pass</t>
        </is>
      </c>
      <c r="K12" s="25" t="inlineStr">
        <is>
          <t>Medium</t>
        </is>
      </c>
      <c r="L12" s="38" t="n"/>
    </row>
    <row r="13" ht="41.4" customFormat="1" customHeight="1" s="26">
      <c r="A13" s="19" t="n">
        <v>9</v>
      </c>
      <c r="B13" s="20" t="inlineStr">
        <is>
          <t>TC_GAME_009</t>
        </is>
      </c>
      <c r="C13" s="38" t="inlineStr">
        <is>
          <t>AI vs AI</t>
        </is>
      </c>
      <c r="D13" s="38" t="inlineStr">
        <is>
          <t>Điều chỉnh tốc độ đi cờ trong AI vs AI</t>
        </is>
      </c>
      <c r="E13" s="38" t="inlineStr">
        <is>
          <t>Đang trong trận đấu AI vs AI</t>
        </is>
      </c>
      <c r="F13" s="38" t="inlineStr">
        <is>
          <t>1. Kéo thanh tốc độ từ 1000ms xuống 200ms/nước
2. Quan sát nhịp độ</t>
        </is>
      </c>
      <c r="G13" s="38" t="inlineStr">
        <is>
          <t>Speed: 200ms</t>
        </is>
      </c>
      <c r="H13" s="38" t="inlineStr">
        <is>
          <t>Các nước đi diễn ra nhanh chóng mượt mà theo đúng thời gian đã đặt.</t>
        </is>
      </c>
      <c r="I13" s="23" t="inlineStr">
        <is>
          <t>Điều chỉnh thanh tốc độ đi cờ (từ 1000ms xuống 200ms) hoạt động trơn tru mượt mà.</t>
        </is>
      </c>
      <c r="J13" s="134" t="inlineStr">
        <is>
          <t>Pass</t>
        </is>
      </c>
      <c r="K13" s="25" t="inlineStr">
        <is>
          <t>Medium</t>
        </is>
      </c>
      <c r="L13" s="38" t="n"/>
    </row>
    <row r="14" ht="41.4" customFormat="1" customHeight="1" s="26">
      <c r="A14" s="19" t="n">
        <v>10</v>
      </c>
      <c r="B14" s="20" t="inlineStr">
        <is>
          <t>TC_GAME_010</t>
        </is>
      </c>
      <c r="C14" s="38" t="inlineStr">
        <is>
          <t>AI vs AI</t>
        </is>
      </c>
      <c r="D14" s="38" t="inlineStr">
        <is>
          <t>Tạm dừng (Pause) và Tiếp tục (Resume) trận đấu AI vs AI</t>
        </is>
      </c>
      <c r="E14" s="38" t="inlineStr">
        <is>
          <t>Trận AI vs AI đang chạy</t>
        </is>
      </c>
      <c r="F14" s="38" t="inlineStr">
        <is>
          <t>1. Bấm nút "Tạm dừng"
2. Đợi 5 giây
3. Bấm nút "Tiếp tục"</t>
        </is>
      </c>
      <c r="G14" s="38" t="inlineStr">
        <is>
          <t>Nút Pause / Resume</t>
        </is>
      </c>
      <c r="H14" s="38" t="inlineStr">
        <is>
          <t>Trận đấu dừng ngay lập tức tại nước hiện tại, khi tiếp tục trận đấu chạy tiếp bình thường.</t>
        </is>
      </c>
      <c r="I14" s="23" t="inlineStr">
        <is>
          <t>Nút Tạm dừng (Pause) và Tiếp tục (Resume) trận đấu mô phỏng AI vs AI dừng và chạy lại chuẩn xác.</t>
        </is>
      </c>
      <c r="J14" s="134" t="inlineStr">
        <is>
          <t>Pass</t>
        </is>
      </c>
      <c r="K14" s="25" t="inlineStr">
        <is>
          <t>Medium</t>
        </is>
      </c>
      <c r="L14" s="38" t="n"/>
    </row>
    <row r="15" ht="41.4" customFormat="1" customHeight="1" s="26">
      <c r="A15" s="19" t="n">
        <v>11</v>
      </c>
      <c r="B15" s="20" t="inlineStr">
        <is>
          <t>TC_GAME_011</t>
        </is>
      </c>
      <c r="C15" s="38" t="inlineStr">
        <is>
          <t>Xếp bàn cờ</t>
        </is>
      </c>
      <c r="D15" s="38" t="inlineStr">
        <is>
          <t>Xếp bàn cờ tùy biến (Board Editor) - Đặt và Xóa quân</t>
        </is>
      </c>
      <c r="E15" s="38" t="inlineStr">
        <is>
          <t>Mở chế độ Xếp bàn cờ</t>
        </is>
      </c>
      <c r="F15" s="38" t="inlineStr">
        <is>
          <t>1. Chọn quân cờ từ khay
2. Đặt vào vị trí bất kỳ trên bàn cờ
3. Xóa một quân cờ</t>
        </is>
      </c>
      <c r="G15" s="38" t="inlineStr">
        <is>
          <t>Kéo thả quân cờ</t>
        </is>
      </c>
      <c r="H15" s="38" t="inlineStr">
        <is>
          <t>Quân cờ được gán đúng tọa độ, chuỗi FEN tự động cập nhật theo thế cờ vừa dựng.</t>
        </is>
      </c>
      <c r="I15" s="23" t="inlineStr">
        <is>
          <t>Board Editor cho phép đặt/xóa quân cờ tùy ý và tự động cập nhật chuỗi FEN thời gian thực.</t>
        </is>
      </c>
      <c r="J15" s="134" t="inlineStr">
        <is>
          <t>Pass</t>
        </is>
      </c>
      <c r="K15" s="25" t="inlineStr">
        <is>
          <t>Medium</t>
        </is>
      </c>
      <c r="L15" s="38" t="n"/>
    </row>
    <row r="16" ht="41.4" customFormat="1" customHeight="1" s="26">
      <c r="A16" s="19" t="n">
        <v>12</v>
      </c>
      <c r="B16" s="20" t="inlineStr">
        <is>
          <t>TC_GAME_012</t>
        </is>
      </c>
      <c r="C16" s="38" t="inlineStr">
        <is>
          <t>Xếp bàn cờ</t>
        </is>
      </c>
      <c r="D16" s="38" t="inlineStr">
        <is>
          <t>Kiểm tra tính hợp lệ của thế cờ tự xếp</t>
        </is>
      </c>
      <c r="E16" s="38" t="inlineStr">
        <is>
          <t>Người dùng xóa mất quân Tướng Đỏ và bấm "Chơi thế này"</t>
        </is>
      </c>
      <c r="F16" s="38" t="inlineStr">
        <is>
          <t>1. Dựng thế cờ thiếu Tướng
2. Bấm nút "Vào chơi"</t>
        </is>
      </c>
      <c r="G16" s="38" t="inlineStr">
        <is>
          <t>Thế cờ không có Tướng</t>
        </is>
      </c>
      <c r="H16" s="38" t="inlineStr">
        <is>
          <t>Báo lỗi: "Thế cờ không hợp lệ. Mỗi bên bắt buộc phải có đúng một quân Tướng trong Cung."</t>
        </is>
      </c>
      <c r="I16" s="23" t="inlineStr">
        <is>
          <t>Kiểm tra tính hợp lệ thế cờ tự xếp: Báo lỗi khi thiếu quân Tướng hoặc Tướng ở ngoài Cung.</t>
        </is>
      </c>
      <c r="J16" s="134" t="inlineStr">
        <is>
          <t>Pass</t>
        </is>
      </c>
      <c r="K16" s="24" t="inlineStr">
        <is>
          <t>High</t>
        </is>
      </c>
      <c r="L16" s="38" t="n"/>
    </row>
    <row r="17" ht="41.4" customFormat="1" customHeight="1" s="26">
      <c r="A17" s="19" t="n">
        <v>13</v>
      </c>
      <c r="B17" s="20" t="inlineStr">
        <is>
          <t>TC_GAME_013</t>
        </is>
      </c>
      <c r="C17" s="38" t="inlineStr">
        <is>
          <t>Nhập / Xuất FEN</t>
        </is>
      </c>
      <c r="D17" s="38" t="inlineStr">
        <is>
          <t>Nhập chuỗi FEN hợp lệ để dựng bàn cờ</t>
        </is>
      </c>
      <c r="E17" s="38" t="inlineStr">
        <is>
          <t>Mở hộp thoại Nhập FEN</t>
        </is>
      </c>
      <c r="F17" s="38" t="inlineStr">
        <is>
          <t>1. Dán chuỗi FEN hợp lệ
2. Bấm "Tải thế cờ"</t>
        </is>
      </c>
      <c r="G17" s="38" t="inlineStr">
        <is>
          <t>FEN cờ tàn chuẩn</t>
        </is>
      </c>
      <c r="H17" s="38" t="inlineStr">
        <is>
          <t>Bàn cờ dựng lại chính xác 100% vị trí các quân cờ và lượt đi theo chuỗi FEN.</t>
        </is>
      </c>
      <c r="I17" s="23" t="inlineStr">
        <is>
          <t>Nhập chuỗi FEN hợp lệ tải lại 100% chính xác vị trí quân cờ và lượt đi.</t>
        </is>
      </c>
      <c r="J17" s="134" t="inlineStr">
        <is>
          <t>Pass</t>
        </is>
      </c>
      <c r="K17" s="24" t="inlineStr">
        <is>
          <t>High</t>
        </is>
      </c>
      <c r="L17" s="38" t="inlineStr">
        <is>
          <t>BUG_011 (Đã fix ở Chu kỳ 2 - Commit 65ae81d)</t>
        </is>
      </c>
    </row>
    <row r="18" ht="41.4" customFormat="1" customHeight="1" s="26">
      <c r="A18" s="19" t="n">
        <v>14</v>
      </c>
      <c r="B18" s="20" t="inlineStr">
        <is>
          <t>TC_GAME_014</t>
        </is>
      </c>
      <c r="C18" s="38" t="inlineStr">
        <is>
          <t>Nhập / Xuất FEN</t>
        </is>
      </c>
      <c r="D18" s="38" t="inlineStr">
        <is>
          <t>Nhập chuỗi FEN sai định dạng</t>
        </is>
      </c>
      <c r="E18" s="38" t="inlineStr">
        <is>
          <t>Mở hộp thoại Nhập FEN</t>
        </is>
      </c>
      <c r="F18" s="38" t="inlineStr">
        <is>
          <t>1. Dán chuỗi văn bản rác hoặc sai cấu trúc FEN
2. Bấm "Tải thế cờ"</t>
        </is>
      </c>
      <c r="G18" s="38" t="inlineStr">
        <is>
          <t>Chuỗi: "invalid_fen_12345"</t>
        </is>
      </c>
      <c r="H18" s="38" t="inlineStr">
        <is>
          <t>Báo lỗi định dạng FEN không hợp lệ, giữ nguyên trạng thái bàn cờ hiện tại.</t>
        </is>
      </c>
      <c r="I18" s="23" t="inlineStr">
        <is>
          <t>Nhập chuỗi FEN sai định dạng bị từ chối và giữ nguyên thế cờ hiện tại.</t>
        </is>
      </c>
      <c r="J18" s="134" t="inlineStr">
        <is>
          <t>Pass</t>
        </is>
      </c>
      <c r="K18" s="25" t="inlineStr">
        <is>
          <t>Medium</t>
        </is>
      </c>
      <c r="L18" s="38" t="n"/>
    </row>
    <row r="19" ht="41.4" customFormat="1" customHeight="1" s="26">
      <c r="A19" s="19" t="n">
        <v>15</v>
      </c>
      <c r="B19" s="20" t="inlineStr">
        <is>
          <t>TC_GAME_015</t>
        </is>
      </c>
      <c r="C19" s="38" t="inlineStr">
        <is>
          <t>Hỗ trợ trận đấu</t>
        </is>
      </c>
      <c r="D19" s="38" t="inlineStr">
        <is>
          <t>Tính năng Đi lại (Undo) nước cờ</t>
        </is>
      </c>
      <c r="E19" s="38" t="inlineStr">
        <is>
          <t>Đang đấu với AI hoặc chơi 2 người, đã đi được &gt;= 2 nước</t>
        </is>
      </c>
      <c r="F19" s="38" t="inlineStr">
        <is>
          <t>1. Bấm nút "Xin đi lại" (Undo)
2. Kiểm tra bàn cờ</t>
        </is>
      </c>
      <c r="G19" s="38" t="inlineStr">
        <is>
          <t>Nút Undo</t>
        </is>
      </c>
      <c r="H19" s="38" t="inlineStr">
        <is>
          <t>Bàn cờ lùi lại 2 nước (khi đấu AI) hoặc 1 nước (khi chơi 2 người). Vị trí quân và điểm số cập nhật lùi lại đúng.</t>
        </is>
      </c>
      <c r="I19" s="23" t="inlineStr">
        <is>
          <t>Tính năng Xin đi lại (Undo) lùi lại 2 nước khi đấu AI hoặc 1 nước khi chơi 2 người chính xác.</t>
        </is>
      </c>
      <c r="J19" s="134" t="inlineStr">
        <is>
          <t>Pass</t>
        </is>
      </c>
      <c r="K19" s="25" t="inlineStr">
        <is>
          <t>Medium</t>
        </is>
      </c>
      <c r="L19" s="38" t="n"/>
    </row>
    <row r="20" ht="41.4" customFormat="1" customHeight="1" s="26">
      <c r="A20" s="19" t="n">
        <v>16</v>
      </c>
      <c r="B20" s="20" t="inlineStr">
        <is>
          <t>TC_GAME_016</t>
        </is>
      </c>
      <c r="C20" s="38" t="inlineStr">
        <is>
          <t>Hỗ trợ trận đấu</t>
        </is>
      </c>
      <c r="D20" s="38" t="inlineStr">
        <is>
          <t>Tính năng Gợi ý nước đi (Hint)</t>
        </is>
      </c>
      <c r="E20" s="38" t="inlineStr">
        <is>
          <t>Đến lượt người chơi trong ván cờ</t>
        </is>
      </c>
      <c r="F20" s="38" t="inlineStr">
        <is>
          <t>1. Bấm nút "Gợi ý" (Hint)
2. Quan sát bàn cờ</t>
        </is>
      </c>
      <c r="G20" s="38" t="inlineStr">
        <is>
          <t>Nút Hint</t>
        </is>
      </c>
      <c r="H20" s="38" t="inlineStr">
        <is>
          <t>Hiển thị mũi tên hoặc ô sáng màu vàng chỉ nước đi tốt nhất do AI tính toán gợi ý.</t>
        </is>
      </c>
      <c r="I20" s="23" t="inlineStr">
        <is>
          <t>Nút Gợi ý (Hint) hiển thị mũi tên vàng chỉ nước cờ tối ưu do thuật toán AI đề xuất.</t>
        </is>
      </c>
      <c r="J20" s="134" t="inlineStr">
        <is>
          <t>Pass</t>
        </is>
      </c>
      <c r="K20" s="25" t="inlineStr">
        <is>
          <t>Medium</t>
        </is>
      </c>
      <c r="L20" s="38" t="n"/>
    </row>
    <row r="21" ht="41.4" customFormat="1" customHeight="1" s="26">
      <c r="A21" s="19" t="n">
        <v>17</v>
      </c>
      <c r="B21" s="20" t="inlineStr">
        <is>
          <t>TC_GAME_017</t>
        </is>
      </c>
      <c r="C21" s="38" t="inlineStr">
        <is>
          <t>Khai cuộc ECCO</t>
        </is>
      </c>
      <c r="D21" s="38" t="inlineStr">
        <is>
          <t>Tự động nhận diện thế trận khai cuộc ECCO</t>
        </is>
      </c>
      <c r="E21" s="38" t="inlineStr">
        <is>
          <t>Bắt đầu ván mới</t>
        </is>
      </c>
      <c r="F21" s="38" t="inlineStr">
        <is>
          <t>1. Đỏ đi Pháo 2 bình 5 (Pháo Đầu)
2. Đen đi Mã 8 tiến 7 (Bình Phong Mã)
3. Quan sát chip khai cuộc</t>
        </is>
      </c>
      <c r="G21" s="38" t="inlineStr">
        <is>
          <t>Nước đi khai cuộc</t>
        </is>
      </c>
      <c r="H21" s="38" t="inlineStr">
        <is>
          <t>Chip ECCO cập nhật tên thế trận chuẩn xác: "ECCO-C01: Pháo Đầu đối Bình Phong Mã".</t>
        </is>
      </c>
      <c r="I21" s="23" t="inlineStr">
        <is>
          <t>Tự động nhận diện thế trận khai cuộc ECCO (ví dụ ECCO-C01: Pháo Đầu đối Bình Phong Mã).</t>
        </is>
      </c>
      <c r="J21" s="134" t="inlineStr">
        <is>
          <t>Pass</t>
        </is>
      </c>
      <c r="K21" s="25" t="inlineStr">
        <is>
          <t>Medium</t>
        </is>
      </c>
      <c r="L21" s="38" t="n"/>
    </row>
    <row r="22" ht="41.4" customFormat="1" customHeight="1" s="26">
      <c r="A22" s="19" t="n">
        <v>18</v>
      </c>
      <c r="B22" s="20" t="inlineStr">
        <is>
          <t>TC_GAME_018</t>
        </is>
      </c>
      <c r="C22" s="38" t="inlineStr">
        <is>
          <t>Đánh giá AI</t>
        </is>
      </c>
      <c r="D22" s="38" t="inlineStr">
        <is>
          <t>Thanh đánh giá thế trận (Heuristic Evaluation Bar)</t>
        </is>
      </c>
      <c r="E22" s="38" t="inlineStr">
        <is>
          <t>Ván cờ đang diễn ra</t>
        </is>
      </c>
      <c r="F22" s="38" t="inlineStr">
        <is>
          <t>1. Đi một nước cờ ăn quân Xe đối phương
2. Quan sát thanh Heuristic Bar bên cạnh bàn cờ</t>
        </is>
      </c>
      <c r="G22" s="38" t="inlineStr">
        <is>
          <t>Ăn quân Xe (+900 centipawn)</t>
        </is>
      </c>
      <c r="H22" s="38" t="inlineStr">
        <is>
          <t>Thanh Heuristic Bar tăng mạnh dải màu Đỏ thể hiện ưu thế vượt trội (+5.0 đến +9.0 điểm).</t>
        </is>
      </c>
      <c r="I22" s="23" t="inlineStr">
        <is>
          <t>Thanh Heuristic Evaluation Bar cập nhật dải màu đỏ/đen tương ứng với chênh lệch điểm số quân lực và vị trí.</t>
        </is>
      </c>
      <c r="J22" s="134" t="inlineStr">
        <is>
          <t>Pass</t>
        </is>
      </c>
      <c r="K22" s="25" t="inlineStr">
        <is>
          <t>Medium</t>
        </is>
      </c>
      <c r="L22" s="38" t="n"/>
    </row>
  </sheetData>
  <mergeCells count="2">
    <mergeCell ref="A2:L2"/>
    <mergeCell ref="A1:L1"/>
  </mergeCells>
  <dataValidations count="1">
    <dataValidation sqref="J5:J22"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24"/>
  <sheetViews>
    <sheetView workbookViewId="0">
      <selection activeCell="A5" sqref="A5:XFD24"/>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ĐẤU TRỰC TUYẾN THỜI GIAN THỰC (ONLINE MULTIPLAYER &amp; SIGNALR)</t>
        </is>
      </c>
    </row>
    <row r="2" ht="18" customHeight="1" s="34">
      <c r="A2" s="61" t="inlineStr">
        <is>
          <t>Kiểm tra Sảnh công khai, Phòng riêng mã 8 ký tự, Đồng bộ nước đi Realtime, Đồng hồ rụng kim, Reconnect</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41.4" customFormat="1" customHeight="1" s="26">
      <c r="A5" s="19" t="n">
        <v>1</v>
      </c>
      <c r="B5" s="20" t="inlineStr">
        <is>
          <t>TC_ONL_001</t>
        </is>
      </c>
      <c r="C5" s="38" t="inlineStr">
        <is>
          <t>Sảnh chờ</t>
        </is>
      </c>
      <c r="D5" s="38" t="inlineStr">
        <is>
          <t>Hiển thị danh sách phòng chờ công khai theo 4 Tier Elo</t>
        </is>
      </c>
      <c r="E5" s="38" t="inlineStr">
        <is>
          <t>Người dùng ở trang Sảnh trực tuyến (/Game hoặc Online Lobby)</t>
        </is>
      </c>
      <c r="F5" s="38" t="inlineStr">
        <is>
          <t>1. Vào mục Sảnh chờ công khai
2. Kiểm tra danh sách 4 phân hạng</t>
        </is>
      </c>
      <c r="G5" s="38" t="inlineStr">
        <is>
          <t>Tier: Nhập môn, Kỳ thủ, Kiện tướng, Đại sư</t>
        </is>
      </c>
      <c r="H5" s="38" t="inlineStr">
        <is>
          <t>Hiển thị đúng 4 phân hạng, số lượng phòng đang mở và các trận đấu đang diễn ra.</t>
        </is>
      </c>
      <c r="I5" s="23" t="inlineStr">
        <is>
          <t>Sảnh chờ công khai hiển thị đầy đủ 4 phân hạng Tier Elo (Nhập môn, Kỳ thủ, Kiện tướng, Đại sư).</t>
        </is>
      </c>
      <c r="J5" s="134" t="inlineStr">
        <is>
          <t>Pass</t>
        </is>
      </c>
      <c r="K5" s="24" t="inlineStr">
        <is>
          <t>High</t>
        </is>
      </c>
      <c r="L5" s="38" t="n"/>
    </row>
    <row r="6" ht="55.2" customFormat="1" customHeight="1" s="26">
      <c r="A6" s="19" t="n">
        <v>2</v>
      </c>
      <c r="B6" s="20" t="inlineStr">
        <is>
          <t>TC_ONL_002</t>
        </is>
      </c>
      <c r="C6" s="38" t="inlineStr">
        <is>
          <t>Tạo phòng</t>
        </is>
      </c>
      <c r="D6" s="38" t="inlineStr">
        <is>
          <t>Tạo phòng chơi riêng tư sinh mã ngẫu nhiên 8 ký tự</t>
        </is>
      </c>
      <c r="E6" s="38" t="inlineStr">
        <is>
          <t>Người dùng đã đăng nhập tài khoản</t>
        </is>
      </c>
      <c r="F6" s="38" t="inlineStr">
        <is>
          <t>1. Chọn "Tạo phòng riêng"
2. Thiết lập thời gian (10 phút)
3. Bấm "Tạo phòng"</t>
        </is>
      </c>
      <c r="G6" s="38" t="inlineStr">
        <is>
          <t>Phòng Private, Time: 10m</t>
        </is>
      </c>
      <c r="H6" s="38" t="inlineStr">
        <is>
          <t>Hệ thống sinh mã phòng ngẫu nhiên gồm 8 ký tự in hoa (ví dụ: Z8J67ZZA), chuyển người tạo vào trạng thái Chờ đối thủ.</t>
        </is>
      </c>
      <c r="I6" s="23" t="inlineStr">
        <is>
          <t>Tạo phòng riêng sinh mã ngẫu nhiên 8 ký tự in hoa (ví dụ Z8J67ZZA) và đưa chủ phòng vào trạng thái chờ.</t>
        </is>
      </c>
      <c r="J6" s="134" t="inlineStr">
        <is>
          <t>Pass</t>
        </is>
      </c>
      <c r="K6" s="24" t="inlineStr">
        <is>
          <t>High</t>
        </is>
      </c>
      <c r="L6" s="38" t="n"/>
    </row>
    <row r="7" ht="41.4" customFormat="1" customHeight="1" s="26">
      <c r="A7" s="19" t="n">
        <v>3</v>
      </c>
      <c r="B7" s="20" t="inlineStr">
        <is>
          <t>TC_ONL_003</t>
        </is>
      </c>
      <c r="C7" s="38" t="inlineStr">
        <is>
          <t>Vào phòng</t>
        </is>
      </c>
      <c r="D7" s="38" t="inlineStr">
        <is>
          <t>Nhập mã phòng 8 ký tự hợp lệ để tham gia thi đấu</t>
        </is>
      </c>
      <c r="E7" s="38" t="inlineStr">
        <is>
          <t>Phòng "Z8J67ZZA" đang mở chờ đối thủ</t>
        </is>
      </c>
      <c r="F7" s="38" t="inlineStr">
        <is>
          <t>1. Người chơi 2 vào tab "Nhập mã phòng"
2. Nhập chính xác "Z8J67ZZA"
3. Bấm "Vào phòng"</t>
        </is>
      </c>
      <c r="G7" s="38" t="inlineStr">
        <is>
          <t>Mã: Z8J67ZZA</t>
        </is>
      </c>
      <c r="H7" s="38" t="inlineStr">
        <is>
          <t>Người chơi 2 gia nhập phòng thành công, SignalR thông báo cho cả 2 người, chuyển sang màn hình bàn cờ.</t>
        </is>
      </c>
      <c r="I7" s="23" t="inlineStr">
        <is>
          <t>Người chơi thứ 2 nhập mã phòng 8 ký tự tham gia thành công, SignalR thông báo và chuyển vào bàn cờ.</t>
        </is>
      </c>
      <c r="J7" s="134" t="inlineStr">
        <is>
          <t>Pass</t>
        </is>
      </c>
      <c r="K7" s="24" t="inlineStr">
        <is>
          <t>High</t>
        </is>
      </c>
      <c r="L7" s="38" t="n"/>
    </row>
    <row r="8" ht="41.4" customFormat="1" customHeight="1" s="26">
      <c r="A8" s="19" t="n">
        <v>4</v>
      </c>
      <c r="B8" s="20" t="inlineStr">
        <is>
          <t>TC_ONL_004</t>
        </is>
      </c>
      <c r="C8" s="38" t="inlineStr">
        <is>
          <t>Vào phòng</t>
        </is>
      </c>
      <c r="D8" s="38" t="inlineStr">
        <is>
          <t>Nhập mã phòng không tồn tại hoặc phòng đã kết thúc</t>
        </is>
      </c>
      <c r="E8" s="38" t="inlineStr">
        <is>
          <t>Mã phòng "ABCDEFGH" không có trong hệ thống</t>
        </is>
      </c>
      <c r="F8" s="38" t="inlineStr">
        <is>
          <t>1. Nhập mã "ABCDEFGH"
2. Bấm "Vào phòng"</t>
        </is>
      </c>
      <c r="G8" s="38" t="inlineStr">
        <is>
          <t>Mã: ABCDEFGH</t>
        </is>
      </c>
      <c r="H8" s="38" t="inlineStr">
        <is>
          <t>Báo lỗi: "Không tìm thấy phòng chơi hoặc phòng đã đóng". Không chuyển màn hình.</t>
        </is>
      </c>
      <c r="I8" s="23" t="inlineStr">
        <is>
          <t>Nhập mã phòng không tồn tại bị từ chối với thông báo 'Không tìm thấy phòng chơi hoặc phòng đã đóng'.</t>
        </is>
      </c>
      <c r="J8" s="134" t="inlineStr">
        <is>
          <t>Pass</t>
        </is>
      </c>
      <c r="K8" s="24" t="inlineStr">
        <is>
          <t>High</t>
        </is>
      </c>
      <c r="L8" s="38" t="n"/>
    </row>
    <row r="9" ht="41.4" customFormat="1" customHeight="1" s="26">
      <c r="A9" s="19" t="n">
        <v>5</v>
      </c>
      <c r="B9" s="20" t="inlineStr">
        <is>
          <t>TC_ONL_005</t>
        </is>
      </c>
      <c r="C9" s="38" t="inlineStr">
        <is>
          <t>Vào phòng</t>
        </is>
      </c>
      <c r="D9" s="38" t="inlineStr">
        <is>
          <t>Cố gắng vào phòng đã đủ 2 người chơi</t>
        </is>
      </c>
      <c r="E9" s="38" t="inlineStr">
        <is>
          <t>Phòng đã có đủ Player Red và Player Black</t>
        </is>
      </c>
      <c r="F9" s="38" t="inlineStr">
        <is>
          <t>1. Người thứ 3 nhập mã phòng
2. Bấm "Vào phòng"</t>
        </is>
      </c>
      <c r="G9" s="38" t="inlineStr">
        <is>
          <t>Phòng full</t>
        </is>
      </c>
      <c r="H9" s="38" t="inlineStr">
        <is>
          <t>Thông báo: "Phòng đã đủ người chơi. Bạn có muốn vào xem với tư cách Khán giả không?"</t>
        </is>
      </c>
      <c r="I9" s="23" t="inlineStr">
        <is>
          <t>Phòng đã đủ 2 người chơi tự động hỏi người thứ 3 vào xem với tư cách Khán giả.</t>
        </is>
      </c>
      <c r="J9" s="134" t="inlineStr">
        <is>
          <t>Pass</t>
        </is>
      </c>
      <c r="K9" s="25" t="inlineStr">
        <is>
          <t>Medium</t>
        </is>
      </c>
      <c r="L9" s="38" t="n"/>
    </row>
    <row r="10" ht="41.4" customFormat="1" customHeight="1" s="26">
      <c r="A10" s="19" t="n">
        <v>6</v>
      </c>
      <c r="B10" s="20" t="inlineStr">
        <is>
          <t>TC_ONL_006</t>
        </is>
      </c>
      <c r="C10" s="38" t="inlineStr">
        <is>
          <t>Bắt đầu trận</t>
        </is>
      </c>
      <c r="D10" s="38" t="inlineStr">
        <is>
          <t>Phân chia màu quân Đỏ / Đen và khởi tạo bàn cờ</t>
        </is>
      </c>
      <c r="E10" s="38" t="inlineStr">
        <is>
          <t>Cả 2 người chơi đã kết nối vào phòng</t>
        </is>
      </c>
      <c r="F10" s="38" t="inlineStr">
        <is>
          <t>1. Hệ thống xác nhận bắt đầu trận
2. Kiểm tra màu quân của 2 máy</t>
        </is>
      </c>
      <c r="G10" s="38" t="inlineStr">
        <is>
          <t>Bắt đầu ván Online</t>
        </is>
      </c>
      <c r="H10" s="38" t="inlineStr">
        <is>
          <t>Người chơi Đỏ cầm quân Đỏ ở nửa dưới màn hình. Người chơi Đen cầm quân Đen ở nửa dưới màn hình.</t>
        </is>
      </c>
      <c r="I10" s="23" t="inlineStr">
        <is>
          <t>Bắt đầu trận Online: Phân định rõ ràng người chơi Đỏ cầm quân Đỏ dưới, người chơi Đen cầm quân Đen dưới.</t>
        </is>
      </c>
      <c r="J10" s="134" t="inlineStr">
        <is>
          <t>Pass</t>
        </is>
      </c>
      <c r="K10" s="24" t="inlineStr">
        <is>
          <t>High</t>
        </is>
      </c>
      <c r="L10" s="38" t="n"/>
    </row>
    <row r="11" ht="55.2" customFormat="1" customHeight="1" s="26">
      <c r="A11" s="19" t="n">
        <v>7</v>
      </c>
      <c r="B11" s="20" t="inlineStr">
        <is>
          <t>TC_ONL_007</t>
        </is>
      </c>
      <c r="C11" s="38" t="inlineStr">
        <is>
          <t>Realtime SignalR</t>
        </is>
      </c>
      <c r="D11" s="38" t="inlineStr">
        <is>
          <t>Đồng bộ nước đi thời gian thực qua SignalR Hub</t>
        </is>
      </c>
      <c r="E11" s="38" t="inlineStr">
        <is>
          <t>Ván cờ Online đang diễn ra</t>
        </is>
      </c>
      <c r="F11" s="38" t="inlineStr">
        <is>
          <t>1. Người chơi Đỏ đi Pháo 2 bình 5 trên máy A
2. Quan sát màn hình máy B của đối thủ</t>
        </is>
      </c>
      <c r="G11" s="38" t="inlineStr">
        <is>
          <t>Nước đi: b3-e3</t>
        </is>
      </c>
      <c r="H11" s="38" t="inlineStr">
        <is>
          <t>Màn hình máy B tự động cập nhật quân Pháo Đỏ nhảy sang e3 trong thời gian &lt; 150ms mà không cần tải lại trang.</t>
        </is>
      </c>
      <c r="I11" s="23" t="inlineStr">
        <is>
          <t>Đồng bộ nước đi thời gian thực qua SignalR Hub đạt độ trễ cực thấp (&lt; 150ms) không cần tải lại trang.</t>
        </is>
      </c>
      <c r="J11" s="134" t="inlineStr">
        <is>
          <t>Pass</t>
        </is>
      </c>
      <c r="K11" s="24" t="inlineStr">
        <is>
          <t>High</t>
        </is>
      </c>
      <c r="L11" s="38" t="n"/>
    </row>
    <row r="12" ht="41.4" customFormat="1" customHeight="1" s="26">
      <c r="A12" s="19" t="n">
        <v>8</v>
      </c>
      <c r="B12" s="20" t="inlineStr">
        <is>
          <t>TC_ONL_008</t>
        </is>
      </c>
      <c r="C12" s="38" t="inlineStr">
        <is>
          <t>Bảo mật nước đi</t>
        </is>
      </c>
      <c r="D12" s="38" t="inlineStr">
        <is>
          <t>Chặn nước đi không hợp lệ gửi trực tiếp qua SignalR (Anti-cheat)</t>
        </is>
      </c>
      <c r="E12" s="38" t="inlineStr">
        <is>
          <t>Kẻ gian cố tình can thiệp mã WebSocket gửi nước đi sai luật</t>
        </is>
      </c>
      <c r="F12" s="38" t="inlineStr">
        <is>
          <t>1. Bắn lệnh move không hợp lệ qua SignalR Hub (ví dụ Tướng nhảy qua sông)
2. Kiểm tra phản hồi server</t>
        </is>
      </c>
      <c r="G12" s="38" t="inlineStr">
        <is>
          <t>Nước đi hack: e1-e6</t>
        </is>
      </c>
      <c r="H12" s="38" t="inlineStr">
        <is>
          <t>Backend GameHub chặn lại ngay lập tức, trả về lỗi InvalidMove, không đồng bộ nước đi này cho đối thủ.</t>
        </is>
      </c>
      <c r="I12" s="23" t="inlineStr">
        <is>
          <t>Bảo mật Anti-cheat: GameHub chặn ngay lập tức các lệnh WebSocket chứa nước đi sai luật.</t>
        </is>
      </c>
      <c r="J12" s="134" t="inlineStr">
        <is>
          <t>Pass</t>
        </is>
      </c>
      <c r="K12" s="24" t="inlineStr">
        <is>
          <t>High</t>
        </is>
      </c>
      <c r="L12" s="38" t="n"/>
    </row>
    <row r="13" ht="41.4" customFormat="1" customHeight="1" s="26">
      <c r="A13" s="19" t="n">
        <v>9</v>
      </c>
      <c r="B13" s="20" t="inlineStr">
        <is>
          <t>TC_ONL_009</t>
        </is>
      </c>
      <c r="C13" s="38" t="inlineStr">
        <is>
          <t>Đồng hồ đếm ngược</t>
        </is>
      </c>
      <c r="D13" s="38" t="inlineStr">
        <is>
          <t>Đồng hồ đếm ngược mỗi bên giảm đúng theo thời gian thực</t>
        </is>
      </c>
      <c r="E13" s="38" t="inlineStr">
        <is>
          <t>Ván đấu 10 phút, đến lượt bên Đỏ</t>
        </is>
      </c>
      <c r="F13" s="38" t="inlineStr">
        <is>
          <t>1. Đỏ suy nghĩ trong 10 giây
2. Quan sát đồng hồ bên Đỏ và Đen</t>
        </is>
      </c>
      <c r="G13" s="38" t="inlineStr">
        <is>
          <t>Thời gian suy nghĩ: 10s</t>
        </is>
      </c>
      <c r="H13" s="38" t="inlineStr">
        <is>
          <t>Đồng hồ bên Đỏ giảm đúng từ 10:00 xuống 09:50. Đồng hồ bên Đen giữ nguyên đóng băng.</t>
        </is>
      </c>
      <c r="I13" s="23" t="inlineStr">
        <is>
          <t>Đồng hồ đếm ngược chỉ giảm bên người chơi đang suy nghĩ, bên đối phương giữ nguyên.</t>
        </is>
      </c>
      <c r="J13" s="134" t="inlineStr">
        <is>
          <t>Pass</t>
        </is>
      </c>
      <c r="K13" s="24" t="inlineStr">
        <is>
          <t>High</t>
        </is>
      </c>
      <c r="L13" s="38" t="n"/>
    </row>
    <row r="14" ht="41.4" customFormat="1" customHeight="1" s="26">
      <c r="A14" s="19" t="n">
        <v>10</v>
      </c>
      <c r="B14" s="20" t="inlineStr">
        <is>
          <t>TC_ONL_010</t>
        </is>
      </c>
      <c r="C14" s="38" t="inlineStr">
        <is>
          <t>Xử lý rụng kim</t>
        </is>
      </c>
      <c r="D14" s="38" t="inlineStr">
        <is>
          <t>Nút "⚡ XỬ THẮNG RỤNG KIM" xuất hiện khi đối thủ hết giờ</t>
        </is>
      </c>
      <c r="E14" s="38" t="inlineStr">
        <is>
          <t>Đối thủ hết thời gian nước đi (quá 3 phút không đi nước cờ)</t>
        </is>
      </c>
      <c r="F14" s="38" t="inlineStr">
        <is>
          <t>1. Đợi đối thủ quá 3 phút
2. Quan sát nút hành động trên màn hình</t>
        </is>
      </c>
      <c r="G14" s="38" t="inlineStr">
        <is>
          <t>Timeout: 3 phút</t>
        </is>
      </c>
      <c r="H14" s="38" t="inlineStr">
        <is>
          <t>Xuất hiện nút màu vàng cam nổi bật: "⚡ XỬ THẮNG RỤNG KIM" kèm thông báo đối thủ đã hết giờ.</t>
        </is>
      </c>
      <c r="I14" s="23" t="inlineStr">
        <is>
          <t>Nút '⚡ XỬ THẮNG RỤNG KIM' xuất hiện màu cam nổi bật khi đối thủ quá 3 phút không đi nước cờ.</t>
        </is>
      </c>
      <c r="J14" s="134" t="inlineStr">
        <is>
          <t>Pass</t>
        </is>
      </c>
      <c r="K14" s="24" t="inlineStr">
        <is>
          <t>High</t>
        </is>
      </c>
      <c r="L14" s="38" t="n"/>
    </row>
    <row r="15" ht="55.2" customFormat="1" customHeight="1" s="26">
      <c r="A15" s="19" t="n">
        <v>11</v>
      </c>
      <c r="B15" s="20" t="inlineStr">
        <is>
          <t>TC_ONL_011</t>
        </is>
      </c>
      <c r="C15" s="38" t="inlineStr">
        <is>
          <t>Xử lý rụng kim</t>
        </is>
      </c>
      <c r="D15" s="38" t="inlineStr">
        <is>
          <t>Nhấn nút Xử thắng rụng kim kết thúc ván cờ ngay lập tức</t>
        </is>
      </c>
      <c r="E15" s="38" t="inlineStr">
        <is>
          <t>Nút Xử thắng rụng kim đang hiển thị</t>
        </is>
      </c>
      <c r="F15" s="38" t="inlineStr">
        <is>
          <t>1. Người chơi bấm nút "⚡ XỬ THẮNG RỤNG KIM"
2. Quan sát phản hồi server</t>
        </is>
      </c>
      <c r="G15" s="38" t="inlineStr">
        <is>
          <t>Click nút timeout claim</t>
        </is>
      </c>
      <c r="H15" s="38" t="inlineStr">
        <is>
          <t>Máy chủ ASP.NET xác thực thời gian, phát thông báo kết thúc ván: "Thắng cuộc do đối thủ rụng kim (hết giờ)", cộng điểm Elo cho người bấm.</t>
        </is>
      </c>
      <c r="I15" s="23" t="inlineStr">
        <is>
          <t>Bấm nút Xử thắng rụng kim gửi xác thực lên server, kết thúc ván và cộng điểm Elo người thắng.</t>
        </is>
      </c>
      <c r="J15" s="134" t="inlineStr">
        <is>
          <t>Pass</t>
        </is>
      </c>
      <c r="K15" s="24" t="inlineStr">
        <is>
          <t>High</t>
        </is>
      </c>
      <c r="L15" s="38" t="n"/>
    </row>
    <row r="16" ht="55.2" customFormat="1" customHeight="1" s="26">
      <c r="A16" s="19" t="n">
        <v>12</v>
      </c>
      <c r="B16" s="20" t="inlineStr">
        <is>
          <t>TC_ONL_012</t>
        </is>
      </c>
      <c r="C16" s="38" t="inlineStr">
        <is>
          <t>Cầu hòa</t>
        </is>
      </c>
      <c r="D16" s="38" t="inlineStr">
        <is>
          <t>Gửi yêu cầu Cầu hòa (Draw Offer) tới đối thủ</t>
        </is>
      </c>
      <c r="E16" s="38" t="inlineStr">
        <is>
          <t>Ván cờ đang ở thế giằng co</t>
        </is>
      </c>
      <c r="F16" s="38" t="inlineStr">
        <is>
          <t>1. Bấm nút "Xin hòa"
2. Kiểm tra màn hình đối thủ</t>
        </is>
      </c>
      <c r="G16" s="38" t="inlineStr">
        <is>
          <t>Hành động: Xin hòa</t>
        </is>
      </c>
      <c r="H16" s="38" t="inlineStr">
        <is>
          <t>Màn hình đối thủ xuất hiện hộp thoại: "Đối thủ gửi lời mời hòa cờ. Bạn có đồng ý không?" kèm 2 nút Đồng ý / Từ chối.</t>
        </is>
      </c>
      <c r="I16" s="23" t="inlineStr">
        <is>
          <t>Gửi yêu cầu Cầu hòa xuất hiện hộp thoại mời hòa trên máy đối thủ kèm 2 nút Đồng ý / Từ chối.</t>
        </is>
      </c>
      <c r="J16" s="134" t="inlineStr">
        <is>
          <t>Pass</t>
        </is>
      </c>
      <c r="K16" s="25" t="inlineStr">
        <is>
          <t>Medium</t>
        </is>
      </c>
      <c r="L16" s="38" t="n"/>
    </row>
    <row r="17" ht="41.4" customFormat="1" customHeight="1" s="26">
      <c r="A17" s="19" t="n">
        <v>13</v>
      </c>
      <c r="B17" s="20" t="inlineStr">
        <is>
          <t>TC_ONL_013</t>
        </is>
      </c>
      <c r="C17" s="38" t="inlineStr">
        <is>
          <t>Cầu hòa</t>
        </is>
      </c>
      <c r="D17" s="38" t="inlineStr">
        <is>
          <t>Đối thủ chấp nhận yêu cầu Cầu hòa</t>
        </is>
      </c>
      <c r="E17" s="38" t="inlineStr">
        <is>
          <t>Hộp thoại mời hòa đang mở</t>
        </is>
      </c>
      <c r="F17" s="38" t="inlineStr">
        <is>
          <t>1. Đối thủ bấm nút "Đồng ý"
2. Quan sát kết thúc ván</t>
        </is>
      </c>
      <c r="G17" s="38" t="inlineStr">
        <is>
          <t>Chọn: Đồng ý hòa</t>
        </is>
      </c>
      <c r="H17" s="38" t="inlineStr">
        <is>
          <t>Ván đấu kết thúc với kết quả Hòa cờ, cập nhật số trận hòa vào hồ sơ cả 2 người chơi.</t>
        </is>
      </c>
      <c r="I17" s="23" t="inlineStr">
        <is>
          <t>Đối thủ đồng ý cầu hòa: Ván đấu kết thúc với kết quả Hòa cờ và ghi nhận hồ sơ.</t>
        </is>
      </c>
      <c r="J17" s="134" t="inlineStr">
        <is>
          <t>Pass</t>
        </is>
      </c>
      <c r="K17" s="25" t="inlineStr">
        <is>
          <t>Medium</t>
        </is>
      </c>
      <c r="L17" s="38" t="n"/>
    </row>
    <row r="18" ht="41.4" customFormat="1" customHeight="1" s="26">
      <c r="A18" s="19" t="n">
        <v>14</v>
      </c>
      <c r="B18" s="20" t="inlineStr">
        <is>
          <t>TC_ONL_014</t>
        </is>
      </c>
      <c r="C18" s="38" t="inlineStr">
        <is>
          <t>Cầu hòa</t>
        </is>
      </c>
      <c r="D18" s="38" t="inlineStr">
        <is>
          <t>Đối thủ từ chối yêu cầu Cầu hòa</t>
        </is>
      </c>
      <c r="E18" s="38" t="inlineStr">
        <is>
          <t>Hộp thoại mời hòa đang mở</t>
        </is>
      </c>
      <c r="F18" s="38" t="inlineStr">
        <is>
          <t>1. Đối thủ bấm nút "Từ chối"
2. Kiểm tra ván cờ</t>
        </is>
      </c>
      <c r="G18" s="38" t="inlineStr">
        <is>
          <t>Chọn: Từ chối hòa</t>
        </is>
      </c>
      <c r="H18" s="38" t="inlineStr">
        <is>
          <t>Thông báo cho người xin hòa: "Đối thủ từ chối lời mời hòa". Ván cờ tiếp tục bình thường.</t>
        </is>
      </c>
      <c r="I18" s="23" t="inlineStr">
        <is>
          <t>Đối thủ từ chối cầu hòa: Thông báo cho người xin hòa và ván cờ tiếp tục bình thường.</t>
        </is>
      </c>
      <c r="J18" s="134" t="inlineStr">
        <is>
          <t>Pass</t>
        </is>
      </c>
      <c r="K18" s="25" t="inlineStr">
        <is>
          <t>Medium</t>
        </is>
      </c>
      <c r="L18" s="38" t="n"/>
    </row>
    <row r="19" ht="55.2" customFormat="1" customHeight="1" s="26">
      <c r="A19" s="19" t="n">
        <v>15</v>
      </c>
      <c r="B19" s="20" t="inlineStr">
        <is>
          <t>TC_ONL_015</t>
        </is>
      </c>
      <c r="C19" s="38" t="inlineStr">
        <is>
          <t>Đầu hàng</t>
        </is>
      </c>
      <c r="D19" s="38" t="inlineStr">
        <is>
          <t>Người chơi bấm Xin hàng (Resign)</t>
        </is>
      </c>
      <c r="E19" s="38" t="inlineStr">
        <is>
          <t>Ván đấu đang diễn ra</t>
        </is>
      </c>
      <c r="F19" s="38" t="inlineStr">
        <is>
          <t>1. Bấm nút "Xin hàng"
2. Xác nhận hộp thoại "Bạn có chắc chắn muốn đầu hàng?"</t>
        </is>
      </c>
      <c r="G19" s="38" t="inlineStr">
        <is>
          <t>Hành động: Đầu hàng</t>
        </is>
      </c>
      <c r="H19" s="38" t="inlineStr">
        <is>
          <t>Ván cờ kết thúc ngay lập tức, đối phương được xử Thắng, người xin hàng bị xử Thua, cập nhật Elo tương ứng.</t>
        </is>
      </c>
      <c r="I19" s="23" t="inlineStr">
        <is>
          <t>Người chơi bấm Xin hàng (Resign): Hệ thống xử thua ngay lập tức và cập nhật Elo.</t>
        </is>
      </c>
      <c r="J19" s="134" t="inlineStr">
        <is>
          <t>Pass</t>
        </is>
      </c>
      <c r="K19" s="24" t="inlineStr">
        <is>
          <t>High</t>
        </is>
      </c>
      <c r="L19" s="38" t="inlineStr">
        <is>
          <t>BUG_004 (Đã fix ở Chu kỳ 2 - Commit 65ae81d)</t>
        </is>
      </c>
    </row>
    <row r="20" ht="41.4" customFormat="1" customHeight="1" s="26">
      <c r="A20" s="19" t="n">
        <v>16</v>
      </c>
      <c r="B20" s="20" t="inlineStr">
        <is>
          <t>TC_ONL_016</t>
        </is>
      </c>
      <c r="C20" s="38" t="inlineStr">
        <is>
          <t>Tái đấu</t>
        </is>
      </c>
      <c r="D20" s="38" t="inlineStr">
        <is>
          <t>Gửi yêu cầu Tái đấu (Rematch) sau khi kết thúc ván</t>
        </is>
      </c>
      <c r="E20" s="38" t="inlineStr">
        <is>
          <t>Ván cờ vừa kết thúc, hiển thị modal kết quả</t>
        </is>
      </c>
      <c r="F20" s="38" t="inlineStr">
        <is>
          <t>1. Bấm nút "Tái đấu"
2. Đối thủ chấp nhận tái đấu</t>
        </is>
      </c>
      <c r="G20" s="38" t="inlineStr">
        <is>
          <t>Nút Rematch</t>
        </is>
      </c>
      <c r="H20" s="38" t="inlineStr">
        <is>
          <t>Bàn cờ tự động reset về ván mới, đổi bên Đỏ/Đen cho 2 người chơi để công bằng.</t>
        </is>
      </c>
      <c r="I20" s="23" t="inlineStr">
        <is>
          <t>Tái đấu (Rematch): Bàn cờ reset về ván mới và tự động đổi bên Đỏ/Đen để đảm bảo công bằng.</t>
        </is>
      </c>
      <c r="J20" s="134" t="inlineStr">
        <is>
          <t>Pass</t>
        </is>
      </c>
      <c r="K20" s="25" t="inlineStr">
        <is>
          <t>Medium</t>
        </is>
      </c>
      <c r="L20" s="38" t="inlineStr">
        <is>
          <t>BUG_012 (Đã fix ở Chu kỳ 2 - Commit 65ae81d)</t>
        </is>
      </c>
    </row>
    <row r="21" ht="41.4" customFormat="1" customHeight="1" s="26">
      <c r="A21" s="19" t="n">
        <v>17</v>
      </c>
      <c r="B21" s="20" t="inlineStr">
        <is>
          <t>TC_ONL_017</t>
        </is>
      </c>
      <c r="C21" s="38" t="inlineStr">
        <is>
          <t>Khán giả</t>
        </is>
      </c>
      <c r="D21" s="38" t="inlineStr">
        <is>
          <t>Chế độ Khán giả (Spectator) xem ván đấu trực tiếp</t>
        </is>
      </c>
      <c r="E21" s="38" t="inlineStr">
        <is>
          <t>Trận đấu giữa Player A và Player B đang diễn ra</t>
        </is>
      </c>
      <c r="F21" s="38" t="inlineStr">
        <is>
          <t>1. Người thứ 3 bấm "Xem trận"
2. Quan sát bàn cờ</t>
        </is>
      </c>
      <c r="G21" s="38" t="inlineStr">
        <is>
          <t>Role: Khán giả</t>
        </is>
      </c>
      <c r="H21" s="38" t="inlineStr">
        <is>
          <t>Xem được toàn bộ nước đi realtime, không có các nút di chuyển quân cờ, không can thiệp được ván đấu.</t>
        </is>
      </c>
      <c r="I21" s="23" t="inlineStr">
        <is>
          <t>Chế độ Khán giả xem được toàn bộ nước đi realtime nhưng không có các nút can thiệp ván đấu.</t>
        </is>
      </c>
      <c r="J21" s="134" t="inlineStr">
        <is>
          <t>Pass</t>
        </is>
      </c>
      <c r="K21" s="25" t="inlineStr">
        <is>
          <t>Medium</t>
        </is>
      </c>
      <c r="L21" s="38" t="n"/>
    </row>
    <row r="22" ht="41.4" customFormat="1" customHeight="1" s="26">
      <c r="A22" s="19" t="n">
        <v>18</v>
      </c>
      <c r="B22" s="20" t="inlineStr">
        <is>
          <t>TC_ONL_018</t>
        </is>
      </c>
      <c r="C22" s="38" t="inlineStr">
        <is>
          <t>Mất kết nối</t>
        </is>
      </c>
      <c r="D22" s="38" t="inlineStr">
        <is>
          <t>Người chơi bị rớt mạng Internet đột ngột</t>
        </is>
      </c>
      <c r="E22" s="38" t="inlineStr">
        <is>
          <t>Ván cờ đang chơi, người chơi A bị ngắt mạng Wifi</t>
        </is>
      </c>
      <c r="F22" s="38" t="inlineStr">
        <is>
          <t>1. Rút mạng hoặc tắt Wifi trên máy A
2. Kiểm tra màn hình máy B</t>
        </is>
      </c>
      <c r="G22" s="38" t="inlineStr">
        <is>
          <t>Ngắt mạng đột ngột</t>
        </is>
      </c>
      <c r="H22" s="38" t="inlineStr">
        <is>
          <t>Máy B nhận thông báo: "Đối thủ tạm thời mất kết nối. Đang chờ kết nối lại... (60s)".</t>
        </is>
      </c>
      <c r="I22" s="23" t="inlineStr">
        <is>
          <t>Phát hiện mất kết nối đột ngột: Hiển thị thông báo đếm ngược 60 giây chờ kết nối lại.</t>
        </is>
      </c>
      <c r="J22" s="134" t="inlineStr">
        <is>
          <t>Pass</t>
        </is>
      </c>
      <c r="K22" s="24" t="inlineStr">
        <is>
          <t>High</t>
        </is>
      </c>
      <c r="L22" s="38" t="n"/>
    </row>
    <row r="23" ht="41.4" customFormat="1" customHeight="1" s="26">
      <c r="A23" s="19" t="n">
        <v>19</v>
      </c>
      <c r="B23" s="20" t="inlineStr">
        <is>
          <t>TC_ONL_019</t>
        </is>
      </c>
      <c r="C23" s="38" t="inlineStr">
        <is>
          <t>Kết nối lại</t>
        </is>
      </c>
      <c r="D23" s="38" t="inlineStr">
        <is>
          <t>Cơ chế Tự động kết nối lại (Reconnect) thành công</t>
        </is>
      </c>
      <c r="E23" s="38" t="inlineStr">
        <is>
          <t>Máy A có mạng trở lại trong vòng 30 giây</t>
        </is>
      </c>
      <c r="F23" s="38" t="inlineStr">
        <is>
          <t>1. Bật lại mạng trên máy A
2. Quan sát ứng dụng</t>
        </is>
      </c>
      <c r="G23" s="38" t="inlineStr">
        <is>
          <t>Bật lại Wifi</t>
        </is>
      </c>
      <c r="H23" s="38" t="inlineStr">
        <is>
          <t>SignalR tự động kết nối lại vào đúng phòng chơi, khôi phục lại nguyên vẹn thế cờ và đồng hồ đếm ngược.</t>
        </is>
      </c>
      <c r="I23" s="23" t="inlineStr">
        <is>
          <t>Cơ chế Reconnect tự động khôi phục đúng phòng chơi, thế cờ và đồng hồ khi có mạng trở lại.</t>
        </is>
      </c>
      <c r="J23" s="134" t="inlineStr">
        <is>
          <t>Pass</t>
        </is>
      </c>
      <c r="K23" s="24" t="inlineStr">
        <is>
          <t>High</t>
        </is>
      </c>
      <c r="L23" s="38" t="n"/>
    </row>
    <row r="24" ht="41.4" customFormat="1" customHeight="1" s="26">
      <c r="A24" s="19" t="n">
        <v>20</v>
      </c>
      <c r="B24" s="20" t="inlineStr">
        <is>
          <t>TC_ONL_020</t>
        </is>
      </c>
      <c r="C24" s="38" t="inlineStr">
        <is>
          <t>Bỏ cuộc</t>
        </is>
      </c>
      <c r="D24" s="38" t="inlineStr">
        <is>
          <t>Đối thủ ngắt kết nối quá thời gian chờ (Tự động xử thua)</t>
        </is>
      </c>
      <c r="E24" s="38" t="inlineStr">
        <is>
          <t>Người chơi A rớt mạng và không quay lại sau 60 giây</t>
        </is>
      </c>
      <c r="F24" s="38" t="inlineStr">
        <is>
          <t>1. Đợi hết 60 giây đếm ngược mất kết nối
2. Kiểm tra kết quả</t>
        </is>
      </c>
      <c r="G24" s="38" t="inlineStr">
        <is>
          <t>Timeout disconnect: 60s</t>
        </is>
      </c>
      <c r="H24" s="38" t="inlineStr">
        <is>
          <t>Hệ thống tự động xử Người chơi B thắng do đối thủ bỏ cuộc (Abandonment).</t>
        </is>
      </c>
      <c r="I24" s="23" t="inlineStr">
        <is>
          <t>Quá 60 giây mất kết nối: Hệ thống tự động xử đối thủ thắng do người chơi bỏ cuộc (Abandonment).</t>
        </is>
      </c>
      <c r="J24" s="134" t="inlineStr">
        <is>
          <t>Pass</t>
        </is>
      </c>
      <c r="K24" s="24" t="inlineStr">
        <is>
          <t>High</t>
        </is>
      </c>
      <c r="L24" s="38" t="n"/>
    </row>
  </sheetData>
  <mergeCells count="2">
    <mergeCell ref="A2:L2"/>
    <mergeCell ref="A1:L1"/>
  </mergeCells>
  <dataValidations count="1">
    <dataValidation sqref="J5:J24"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20"/>
  <sheetViews>
    <sheetView topLeftCell="A13" workbookViewId="0">
      <selection activeCell="D5" sqref="D5"/>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HỆ THỐNG CỜ THẾ (PUZZLE CHALLENGE &amp; TIMERUSH)</t>
        </is>
      </c>
    </row>
    <row r="2" ht="18" customHeight="1" s="34">
      <c r="A2" s="61" t="inlineStr">
        <is>
          <t>Kiểm tra Thử thách 5 cấp độ, Timerush 3p/5p/Sinh tồn, Tạo đề tùy chỉnh Elo/Mate, Bản đồ vượt ải</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55.2" customFormat="1" customHeight="1" s="26">
      <c r="A5" s="19" t="n">
        <v>1</v>
      </c>
      <c r="B5" s="20" t="inlineStr">
        <is>
          <t>TC_PUZ_001</t>
        </is>
      </c>
      <c r="C5" s="38" t="inlineStr">
        <is>
          <t>Hub Cờ thế</t>
        </is>
      </c>
      <c r="D5" s="38" t="inlineStr">
        <is>
          <t>Hiển thị đầy đủ 4 chế độ chơi trên Hub Cờ Thế</t>
        </is>
      </c>
      <c r="E5" s="38" t="inlineStr">
        <is>
          <t>Truy cập vào menu Cờ Thế (/Puzzle)</t>
        </is>
      </c>
      <c r="F5" s="38" t="inlineStr">
        <is>
          <t>1. Mở trang Cờ Thế
2. Kiểm tra 4 chế độ</t>
        </is>
      </c>
      <c r="G5" s="38" t="inlineStr">
        <is>
          <t>Hub Cờ Thế</t>
        </is>
      </c>
      <c r="H5" s="38" t="inlineStr">
        <is>
          <t>Hiển thị chuẩn xác 4 thẻ: 1. Thử thách cấp độ, 2. Giải đề tính giờ (Timerush), 3. Tạo đề tùy chỉnh, 4. Lịch sử giải đề.</t>
        </is>
      </c>
      <c r="I5" s="23" t="inlineStr">
        <is>
          <t>Hub Cờ Thế hiển thị đầy đủ 4 thẻ chế độ: Thử thách cấp độ, Timerush, Tạo đề tùy chỉnh, Lịch sử giải đề.</t>
        </is>
      </c>
      <c r="J5" s="134" t="inlineStr">
        <is>
          <t>Pass</t>
        </is>
      </c>
      <c r="K5" s="24" t="inlineStr">
        <is>
          <t>High</t>
        </is>
      </c>
      <c r="L5" s="38" t="n"/>
    </row>
    <row r="6" ht="41.4" customFormat="1" customHeight="1" s="26">
      <c r="A6" s="19" t="n">
        <v>2</v>
      </c>
      <c r="B6" s="20" t="inlineStr">
        <is>
          <t>TC_PUZ_002</t>
        </is>
      </c>
      <c r="C6" s="38" t="inlineStr">
        <is>
          <t>Thử thách</t>
        </is>
      </c>
      <c r="D6" s="38" t="inlineStr">
        <is>
          <t>Xem danh sách bài cờ thế phân theo 5 cấp độ</t>
        </is>
      </c>
      <c r="E6" s="38" t="inlineStr">
        <is>
          <t>Chọn chế độ "Thử thách"</t>
        </is>
      </c>
      <c r="F6" s="38" t="inlineStr">
        <is>
          <t>1. Vào danh sách cấp độ
2. Kiểm tra Cấp 1 đến Cấp 5</t>
        </is>
      </c>
      <c r="G6" s="38" t="inlineStr">
        <is>
          <t>Cấp 1 -&gt; Cấp 5</t>
        </is>
      </c>
      <c r="H6" s="38" t="inlineStr">
        <is>
          <t>Hiển thị danh sách bài tập kèm số sao đạt được, quy tắc yêu cầu (ví dụ: Chiếu bí trong 2 nước).</t>
        </is>
      </c>
      <c r="I6" s="23" t="inlineStr">
        <is>
          <t>Danh sách bài cờ thế phân theo 5 cấp độ khó từ Cấp 1 đến Cấp 5 kèm số sao đạt được.</t>
        </is>
      </c>
      <c r="J6" s="134" t="inlineStr">
        <is>
          <t>Pass</t>
        </is>
      </c>
      <c r="K6" s="24" t="inlineStr">
        <is>
          <t>High</t>
        </is>
      </c>
      <c r="L6" s="38" t="n"/>
    </row>
    <row r="7" ht="41.4" customFormat="1" customHeight="1" s="26">
      <c r="A7" s="19" t="n">
        <v>3</v>
      </c>
      <c r="B7" s="20" t="inlineStr">
        <is>
          <t>TC_PUZ_003</t>
        </is>
      </c>
      <c r="C7" s="38" t="inlineStr">
        <is>
          <t>Thử thách</t>
        </is>
      </c>
      <c r="D7" s="38" t="inlineStr">
        <is>
          <t>Mở một bài cờ thế cụ thể để giải</t>
        </is>
      </c>
      <c r="E7" s="38" t="inlineStr">
        <is>
          <t>Chọn bài cờ "Khởi Mã Phá Trận"</t>
        </is>
      </c>
      <c r="F7" s="38" t="inlineStr">
        <is>
          <t>1. Bấm vào bài cờ
2. Quan sát bàn cờ</t>
        </is>
      </c>
      <c r="G7" s="38" t="inlineStr">
        <is>
          <t>Bài cờ #basic:23</t>
        </is>
      </c>
      <c r="H7" s="38" t="inlineStr">
        <is>
          <t>Bàn cờ tải đúng thế cờ tàn, hiển thị tiêu đề, số nước quy định và lượt đi của bên Đỏ.</t>
        </is>
      </c>
      <c r="I7" s="23" t="inlineStr">
        <is>
          <t>Mở bài cờ thế tải đúng thế cờ tàn, tiêu đề, số nước quy định và lượt đi của bên Đỏ.</t>
        </is>
      </c>
      <c r="J7" s="134" t="inlineStr">
        <is>
          <t>Pass</t>
        </is>
      </c>
      <c r="K7" s="24" t="inlineStr">
        <is>
          <t>High</t>
        </is>
      </c>
      <c r="L7" s="38" t="n"/>
    </row>
    <row r="8" ht="41.4" customFormat="1" customHeight="1" s="26">
      <c r="A8" s="19" t="n">
        <v>4</v>
      </c>
      <c r="B8" s="20" t="inlineStr">
        <is>
          <t>TC_PUZ_004</t>
        </is>
      </c>
      <c r="C8" s="38" t="inlineStr">
        <is>
          <t>Thử thách</t>
        </is>
      </c>
      <c r="D8" s="38" t="inlineStr">
        <is>
          <t>Người chơi đi nước cờ ĐÚNG theo đáp án thế cờ</t>
        </is>
      </c>
      <c r="E8" s="38" t="inlineStr">
        <is>
          <t>Đang trong bài cờ thế</t>
        </is>
      </c>
      <c r="F8" s="38" t="inlineStr">
        <is>
          <t>1. Đi nước cờ đúng chiến thuật đầu tiên
2. Quan sát phản hồi của Máy</t>
        </is>
      </c>
      <c r="G8" s="38" t="inlineStr">
        <is>
          <t>Nước đi chính xác</t>
        </is>
      </c>
      <c r="H8" s="38" t="inlineStr">
        <is>
          <t>Hệ thống xác nhận nước đi đúng, Máy AI tự động đi nước cờ chống đỡ theo kịch bản thế cờ.</t>
        </is>
      </c>
      <c r="I8" s="23" t="inlineStr">
        <is>
          <t>Đi nước cờ ĐÚNG theo đáp án: Hệ thống xác nhận và Máy AI đi nước cờ chống đỡ theo kịch bản.</t>
        </is>
      </c>
      <c r="J8" s="134" t="inlineStr">
        <is>
          <t>Pass</t>
        </is>
      </c>
      <c r="K8" s="24" t="inlineStr">
        <is>
          <t>High</t>
        </is>
      </c>
      <c r="L8" s="38" t="n"/>
    </row>
    <row r="9" ht="55.2" customFormat="1" customHeight="1" s="26">
      <c r="A9" s="19" t="n">
        <v>5</v>
      </c>
      <c r="B9" s="20" t="inlineStr">
        <is>
          <t>TC_PUZ_005</t>
        </is>
      </c>
      <c r="C9" s="38" t="inlineStr">
        <is>
          <t>Thử thách</t>
        </is>
      </c>
      <c r="D9" s="38" t="inlineStr">
        <is>
          <t>Hoàn thành bài cờ thế và nhận đánh giá 3 sao</t>
        </is>
      </c>
      <c r="E9" s="38" t="inlineStr">
        <is>
          <t>Đến nước đi chiếu bí cuối cùng</t>
        </is>
      </c>
      <c r="F9" s="38" t="inlineStr">
        <is>
          <t>1. Đi nước cờ sát cục cuối cùng
2. Kiểm tra popup kết quả</t>
        </is>
      </c>
      <c r="G9" s="38" t="inlineStr">
        <is>
          <t>Hoàn thành bài cờ</t>
        </is>
      </c>
      <c r="H9" s="38" t="inlineStr">
        <is>
          <t>Hiển thị bảng vinh danh "Thành công!", đạt 3 sao ⭐⭐⭐, cộng điểm tích lũy và mở khóa bài tiếp theo.</t>
        </is>
      </c>
      <c r="I9" s="23" t="inlineStr">
        <is>
          <t>Hoàn thành bài cờ: Hiển thị popup vinh danh đạt 3 sao ⭐⭐⭐, cộng điểm và mở khóa bài tiếp theo.</t>
        </is>
      </c>
      <c r="J9" s="134" t="inlineStr">
        <is>
          <t>Pass</t>
        </is>
      </c>
      <c r="K9" s="24" t="inlineStr">
        <is>
          <t>High</t>
        </is>
      </c>
      <c r="L9" s="38" t="n"/>
    </row>
    <row r="10" ht="41.4" customFormat="1" customHeight="1" s="26">
      <c r="A10" s="19" t="n">
        <v>6</v>
      </c>
      <c r="B10" s="20" t="inlineStr">
        <is>
          <t>TC_PUZ_006</t>
        </is>
      </c>
      <c r="C10" s="38" t="inlineStr">
        <is>
          <t>Thử thách</t>
        </is>
      </c>
      <c r="D10" s="38" t="inlineStr">
        <is>
          <t>Người chơi đi nước cờ SAI so với đáp án</t>
        </is>
      </c>
      <c r="E10" s="38" t="inlineStr">
        <is>
          <t>Đang trong bài cờ thế</t>
        </is>
      </c>
      <c r="F10" s="38" t="inlineStr">
        <is>
          <t>1. Cố ý đi nước cờ sai không tối ưu
2. Quan sát thông báo</t>
        </is>
      </c>
      <c r="G10" s="38" t="inlineStr">
        <is>
          <t>Nước đi sai</t>
        </is>
      </c>
      <c r="H10" s="38" t="inlineStr">
        <is>
          <t>Hiển thị thông báo màu đỏ: "Nước đi chưa chính xác. Hãy suy nghĩ thêm!", tự động hoàn tác nước cờ vừa đi.</t>
        </is>
      </c>
      <c r="I10" s="23" t="inlineStr">
        <is>
          <t>Đi nước cờ SAI: Báo lỗi màu đỏ và tự động hoàn tác nước cờ vừa đi về vị trí cũ.</t>
        </is>
      </c>
      <c r="J10" s="134" t="inlineStr">
        <is>
          <t>Pass</t>
        </is>
      </c>
      <c r="K10" s="24" t="inlineStr">
        <is>
          <t>High</t>
        </is>
      </c>
      <c r="L10" s="38" t="n"/>
    </row>
    <row r="11" ht="27.6" customFormat="1" customHeight="1" s="26">
      <c r="A11" s="19" t="n">
        <v>7</v>
      </c>
      <c r="B11" s="20" t="inlineStr">
        <is>
          <t>TC_PUZ_007</t>
        </is>
      </c>
      <c r="C11" s="38" t="inlineStr">
        <is>
          <t>Timerush</t>
        </is>
      </c>
      <c r="D11" s="38" t="inlineStr">
        <is>
          <t>Chế độ Giải đề tính giờ - Chọn Siêu tốc 3 phút</t>
        </is>
      </c>
      <c r="E11" s="38" t="inlineStr">
        <is>
          <t>Ở màn hình Giải đề tính thời gian</t>
        </is>
      </c>
      <c r="F11" s="38" t="inlineStr">
        <is>
          <t>1. Chọn thẻ "Siêu tốc 3 phút"
2. Bấm "Bắt đầu chạy đua"</t>
        </is>
      </c>
      <c r="G11" s="38" t="inlineStr">
        <is>
          <t>Chế độ 3 phút</t>
        </is>
      </c>
      <c r="H11" s="38" t="inlineStr">
        <is>
          <t>Bắt đầu đếm ngược từ 03:00, bài cờ đầu tiên xuất hiện ngay lập tức.</t>
        </is>
      </c>
      <c r="I11" s="23" t="inlineStr">
        <is>
          <t>Chế độ Siêu tốc 3 phút: Đồng hồ đếm ngược từ 03:00 và xuất hiện bài cờ đầu tiên ngay lập tức.</t>
        </is>
      </c>
      <c r="J11" s="134" t="inlineStr">
        <is>
          <t>Pass</t>
        </is>
      </c>
      <c r="K11" s="24" t="inlineStr">
        <is>
          <t>High</t>
        </is>
      </c>
      <c r="L11" s="38" t="n"/>
    </row>
    <row r="12" ht="41.4" customFormat="1" customHeight="1" s="26">
      <c r="A12" s="19" t="n">
        <v>8</v>
      </c>
      <c r="B12" s="20" t="inlineStr">
        <is>
          <t>TC_PUZ_008</t>
        </is>
      </c>
      <c r="C12" s="38" t="inlineStr">
        <is>
          <t>Timerush</t>
        </is>
      </c>
      <c r="D12" s="38" t="inlineStr">
        <is>
          <t>Giải liên tục các bài cờ trong chế độ 3 phút</t>
        </is>
      </c>
      <c r="E12" s="38" t="inlineStr">
        <is>
          <t>Đang trong lượt chạy đua 3 phút</t>
        </is>
      </c>
      <c r="F12" s="38" t="inlineStr">
        <is>
          <t>1. Giải đúng bài 1 -&gt; Chuyển ngay bài 2
2. Giải tiếp các bài tiếp theo</t>
        </is>
      </c>
      <c r="G12" s="38" t="inlineStr">
        <is>
          <t>Giải liên tiếp</t>
        </is>
      </c>
      <c r="H12" s="38" t="inlineStr">
        <is>
          <t>Điểm số (Score) tăng lên sau mỗi bài giải đúng, đồng hồ tiếp tục đếm ngược không dừng.</t>
        </is>
      </c>
      <c r="I12" s="23" t="inlineStr">
        <is>
          <t>Giải liên tục các bài trong Timerush: Điểm số tăng dần sau mỗi bài giải đúng, đồng hồ không dừng.</t>
        </is>
      </c>
      <c r="J12" s="134" t="inlineStr">
        <is>
          <t>Pass</t>
        </is>
      </c>
      <c r="K12" s="24" t="inlineStr">
        <is>
          <t>High</t>
        </is>
      </c>
      <c r="L12" s="38" t="n"/>
    </row>
    <row r="13" ht="41.4" customFormat="1" customHeight="1" s="26">
      <c r="A13" s="19" t="n">
        <v>9</v>
      </c>
      <c r="B13" s="20" t="inlineStr">
        <is>
          <t>TC_PUZ_009</t>
        </is>
      </c>
      <c r="C13" s="38" t="inlineStr">
        <is>
          <t>Timerush</t>
        </is>
      </c>
      <c r="D13" s="38" t="inlineStr">
        <is>
          <t>Kết thúc thời gian 3 phút và vinh danh kết quả</t>
        </is>
      </c>
      <c r="E13" s="38" t="inlineStr">
        <is>
          <t>Đồng hồ đếm ngược về 00:00</t>
        </is>
      </c>
      <c r="F13" s="38" t="inlineStr">
        <is>
          <t>1. Để đồng hồ chạy hết 3 phút
2. Kiểm tra màn hình tổng kết</t>
        </is>
      </c>
      <c r="G13" s="38" t="inlineStr">
        <is>
          <t>Hết giờ (00:00)</t>
        </is>
      </c>
      <c r="H13" s="38" t="inlineStr">
        <is>
          <t>Dừng lượt chơi ngay lập tức, hiển thị tổng số bài giải đúng, kỷ lục cá nhân (High Score) và điểm thưởng.</t>
        </is>
      </c>
      <c r="I13" s="23" t="inlineStr">
        <is>
          <t>Hết giờ 3 phút: Dừng lượt chơi, hiển thị tổng số bài giải đúng, kỷ lục High Score và điểm thưởng.</t>
        </is>
      </c>
      <c r="J13" s="134" t="inlineStr">
        <is>
          <t>Pass</t>
        </is>
      </c>
      <c r="K13" s="24" t="inlineStr">
        <is>
          <t>High</t>
        </is>
      </c>
      <c r="L13" s="38" t="n"/>
    </row>
    <row r="14" ht="55.2" customFormat="1" customHeight="1" s="26">
      <c r="A14" s="19" t="n">
        <v>10</v>
      </c>
      <c r="B14" s="20" t="inlineStr">
        <is>
          <t>TC_PUZ_010</t>
        </is>
      </c>
      <c r="C14" s="38" t="inlineStr">
        <is>
          <t>Timerush</t>
        </is>
      </c>
      <c r="D14" s="38" t="inlineStr">
        <is>
          <t>Chế độ Sinh tồn (Survival) - Giới hạn 3 mạng</t>
        </is>
      </c>
      <c r="E14" s="38" t="inlineStr">
        <is>
          <t>Chọn chế độ "Sinh tồn"</t>
        </is>
      </c>
      <c r="F14" s="38" t="inlineStr">
        <is>
          <t>1. Bắt đầu chơi
2. Đi sai lần 1 -&gt; Mất 1 tim
3. Đi sai lần 2 -&gt; Mất 2 tim
4. Đi sai lần 3 -&gt; Hết tim</t>
        </is>
      </c>
      <c r="G14" s="38" t="inlineStr">
        <is>
          <t>Sai 3 lần</t>
        </is>
      </c>
      <c r="H14" s="38" t="inlineStr">
        <is>
          <t>Sau 3 lần đi sai, lượt chơi kết thúc ngay lập tức dù chưa hết thời gian. Hiển thị số bài đã giải thành công.</t>
        </is>
      </c>
      <c r="I14" s="23" t="inlineStr">
        <is>
          <t>Chế độ Sinh tồn (Survival): Giới hạn 3 mạng, đi sai 3 lần kết thúc lượt chơi dù chưa hết thời gian.</t>
        </is>
      </c>
      <c r="J14" s="134" t="inlineStr">
        <is>
          <t>Pass</t>
        </is>
      </c>
      <c r="K14" s="24" t="inlineStr">
        <is>
          <t>High</t>
        </is>
      </c>
      <c r="L14" s="38" t="n"/>
    </row>
    <row r="15" ht="41.4" customFormat="1" customHeight="1" s="26">
      <c r="A15" s="19" t="n">
        <v>11</v>
      </c>
      <c r="B15" s="20" t="inlineStr">
        <is>
          <t>TC_PUZ_011</t>
        </is>
      </c>
      <c r="C15" s="38" t="inlineStr">
        <is>
          <t>Tùy chỉnh</t>
        </is>
      </c>
      <c r="D15" s="38" t="inlineStr">
        <is>
          <t>Tạo đề tùy chỉnh - Lọc theo dải điểm Elo</t>
        </is>
      </c>
      <c r="E15" s="38" t="inlineStr">
        <is>
          <t>Mở trang Tạo đề bài tùy chỉnh</t>
        </is>
      </c>
      <c r="F15" s="38" t="inlineStr">
        <is>
          <t>1. Kéo thanh trượt Elo chọn mức "Trung cấp (1400)"
2. Bấm "Tìm kiếm đề bài"</t>
        </is>
      </c>
      <c r="G15" s="38" t="inlineStr">
        <is>
          <t>Elo: 1400</t>
        </is>
      </c>
      <c r="H15" s="38" t="inlineStr">
        <is>
          <t>Danh sách trả về các bài cờ thế có độ khó tương đương Elo 1400.</t>
        </is>
      </c>
      <c r="I15" s="23" t="inlineStr">
        <is>
          <t>Tạo đề tùy chỉnh lọc theo dải điểm Elo (mức 1400) trả về danh sách bài có độ khó tương đương.</t>
        </is>
      </c>
      <c r="J15" s="134" t="inlineStr">
        <is>
          <t>Pass</t>
        </is>
      </c>
      <c r="K15" s="25" t="inlineStr">
        <is>
          <t>Medium</t>
        </is>
      </c>
      <c r="L15" s="38" t="n"/>
    </row>
    <row r="16" ht="41.4" customFormat="1" customHeight="1" s="26">
      <c r="A16" s="19" t="n">
        <v>12</v>
      </c>
      <c r="B16" s="20" t="inlineStr">
        <is>
          <t>TC_PUZ_012</t>
        </is>
      </c>
      <c r="C16" s="38" t="inlineStr">
        <is>
          <t>Tùy chỉnh</t>
        </is>
      </c>
      <c r="D16" s="38" t="inlineStr">
        <is>
          <t>Tạo đề tùy chỉnh - Lọc theo Loại thế cờ</t>
        </is>
      </c>
      <c r="E16" s="38" t="inlineStr">
        <is>
          <t>Trang Tạo đề tùy chỉnh</t>
        </is>
      </c>
      <c r="F16" s="38" t="inlineStr">
        <is>
          <t>1. Chọn radio button "Tàn cuộc (&lt;= 6 quân)"
2. Bấm tìm kiếm</t>
        </is>
      </c>
      <c r="G16" s="38" t="inlineStr">
        <is>
          <t>Loại: Tàn cuộc</t>
        </is>
      </c>
      <c r="H16" s="38" t="inlineStr">
        <is>
          <t>Tất cả bài cờ hiển thị đều là cờ tàn với tổng số quân cờ trên bàn &lt;= 6 quân.</t>
        </is>
      </c>
      <c r="I16" s="23" t="inlineStr">
        <is>
          <t>Tạo đề tùy chỉnh lọc theo loại Tàn cuộc (&lt;= 6 quân) hiển thị chính xác các bài cờ thế tàn cục.</t>
        </is>
      </c>
      <c r="J16" s="134" t="inlineStr">
        <is>
          <t>Pass</t>
        </is>
      </c>
      <c r="K16" s="25" t="inlineStr">
        <is>
          <t>Medium</t>
        </is>
      </c>
      <c r="L16" s="38" t="n"/>
    </row>
    <row r="17" ht="27.6" customFormat="1" customHeight="1" s="26">
      <c r="A17" s="19" t="n">
        <v>13</v>
      </c>
      <c r="B17" s="20" t="inlineStr">
        <is>
          <t>TC_PUZ_013</t>
        </is>
      </c>
      <c r="C17" s="38" t="inlineStr">
        <is>
          <t>Tùy chỉnh</t>
        </is>
      </c>
      <c r="D17" s="38" t="inlineStr">
        <is>
          <t>Tạo đề tùy chỉnh - Lọc theo Số nước chiếu sát (Mate in)</t>
        </is>
      </c>
      <c r="E17" s="38" t="inlineStr">
        <is>
          <t>Trang Tạo đề tùy chỉnh</t>
        </is>
      </c>
      <c r="F17" s="38" t="inlineStr">
        <is>
          <t>1. Chọn pill "1 Nước" (Mate in 1)
2. Bấm tìm kiếm</t>
        </is>
      </c>
      <c r="G17" s="38" t="inlineStr">
        <is>
          <t>Mate in 1</t>
        </is>
      </c>
      <c r="H17" s="38" t="inlineStr">
        <is>
          <t>Danh sách trả về các bài sát chiêu chỉ cần đúng 1 nước đi là chiếu bí.</t>
        </is>
      </c>
      <c r="I17" s="23" t="inlineStr">
        <is>
          <t>Tạo đề tùy chỉnh lọc theo Mate in 1 hiển thị các bài sát cục 1 nước đi chiếu bí.</t>
        </is>
      </c>
      <c r="J17" s="134" t="inlineStr">
        <is>
          <t>Pass</t>
        </is>
      </c>
      <c r="K17" s="25" t="inlineStr">
        <is>
          <t>Medium</t>
        </is>
      </c>
      <c r="L17" s="38" t="n"/>
    </row>
    <row r="18" ht="41.4" customFormat="1" customHeight="1" s="26">
      <c r="A18" s="19" t="n">
        <v>14</v>
      </c>
      <c r="B18" s="20" t="inlineStr">
        <is>
          <t>TC_PUZ_014</t>
        </is>
      </c>
      <c r="C18" s="38" t="inlineStr">
        <is>
          <t>Lịch sử giải</t>
        </is>
      </c>
      <c r="D18" s="38" t="inlineStr">
        <is>
          <t>Xem lại lịch sử các bài cờ thế đã giải</t>
        </is>
      </c>
      <c r="E18" s="38" t="inlineStr">
        <is>
          <t>Người chơi đã giải thành công một số bài cờ</t>
        </is>
      </c>
      <c r="F18" s="38" t="inlineStr">
        <is>
          <t>1. Chọn mục "Lịch sử giải đề"
2. Kiểm tra danh sách</t>
        </is>
      </c>
      <c r="G18" s="38" t="inlineStr">
        <is>
          <t>Lịch sử giải</t>
        </is>
      </c>
      <c r="H18" s="38" t="inlineStr">
        <is>
          <t>Hiển thị danh sách các bài đã chơi kèm ngày giờ, kết quả thành công/thất bại và thời gian giải.</t>
        </is>
      </c>
      <c r="I18" s="23" t="inlineStr">
        <is>
          <t>Lịch sử giải đề lưu trữ đầy đủ ngày giờ, kết quả thành công/thất bại và thời gian giải.</t>
        </is>
      </c>
      <c r="J18" s="134" t="inlineStr">
        <is>
          <t>Pass</t>
        </is>
      </c>
      <c r="K18" s="25" t="inlineStr">
        <is>
          <t>Medium</t>
        </is>
      </c>
      <c r="L18" s="38" t="n"/>
    </row>
    <row r="19" ht="41.4" customFormat="1" customHeight="1" s="26">
      <c r="A19" s="19" t="n">
        <v>15</v>
      </c>
      <c r="B19" s="20" t="inlineStr">
        <is>
          <t>TC_PUZ_015</t>
        </is>
      </c>
      <c r="C19" s="38" t="inlineStr">
        <is>
          <t>Bản đồ vượt ải</t>
        </is>
      </c>
      <c r="D19" s="38" t="inlineStr">
        <is>
          <t>Bản đồ vượt ải (Saga Map) - Khóa các ải chưa đạt</t>
        </is>
      </c>
      <c r="E19" s="38" t="inlineStr">
        <is>
          <t>Người chơi mới chỉ mở khóa Ải 1</t>
        </is>
      </c>
      <c r="F19" s="38" t="inlineStr">
        <is>
          <t>1. Mở màn hình Bản đồ vượt ải
2. Kiểm tra Ải 1 và các Ải từ 2 đến 10</t>
        </is>
      </c>
      <c r="G19" s="38" t="inlineStr">
        <is>
          <t>Bản đồ 10 ải</t>
        </is>
      </c>
      <c r="H19" s="38" t="inlineStr">
        <is>
          <t>Ải 1 sáng rõ hiển thị "Đang đấu". Các Ải 2 đến 10 có icon ổ khóa và màu tối. Đường nối không bị highlight sớm.</t>
        </is>
      </c>
      <c r="I19" s="23" t="inlineStr">
        <is>
          <t>Bản đồ vượt ải (Saga Map): Ải 1 mở sáng, các Ải 2 đến 10 có icon ổ khóa và màu tối theo đúng tiến trình.</t>
        </is>
      </c>
      <c r="J19" s="134" t="inlineStr">
        <is>
          <t>Pass</t>
        </is>
      </c>
      <c r="K19" s="24" t="inlineStr">
        <is>
          <t>High</t>
        </is>
      </c>
      <c r="L19" s="38" t="n"/>
    </row>
    <row r="20" ht="41.4" customFormat="1" customHeight="1" s="26">
      <c r="A20" s="19" t="n">
        <v>16</v>
      </c>
      <c r="B20" s="20" t="inlineStr">
        <is>
          <t>TC_PUZ_016</t>
        </is>
      </c>
      <c r="C20" s="38" t="inlineStr">
        <is>
          <t>Bản đồ vượt ải</t>
        </is>
      </c>
      <c r="D20" s="38" t="inlineStr">
        <is>
          <t>Nhận thưởng Rương Bạc và Rương Vàng khi đạt mốc ải</t>
        </is>
      </c>
      <c r="E20" s="38" t="inlineStr">
        <is>
          <t>Người chơi vượt qua Ải 4</t>
        </is>
      </c>
      <c r="F20" s="38" t="inlineStr">
        <is>
          <t>1. Hoàn thành Ải 4
2. Kiểm tra Rương Bạc trên bản đồ
3. Bấm vào rương nhận thưởng</t>
        </is>
      </c>
      <c r="G20" s="38" t="inlineStr">
        <is>
          <t>Mốc ải 4</t>
        </is>
      </c>
      <c r="H20" s="38" t="inlineStr">
        <is>
          <t>Rương Bạc mở khóa, hiển thị hiệu ứng nhận thưởng +3 Tim và +2 Gợi ý.</t>
        </is>
      </c>
      <c r="I20" s="23" t="inlineStr">
        <is>
          <t>Mốc ải 4: Mở khóa Rương Bạc nhận thưởng +3 Tim và +2 Gợi ý thành công.</t>
        </is>
      </c>
      <c r="J20" s="134" t="inlineStr">
        <is>
          <t>Pass</t>
        </is>
      </c>
      <c r="K20" s="25" t="inlineStr">
        <is>
          <t>Medium</t>
        </is>
      </c>
      <c r="L20" s="38" t="n"/>
    </row>
  </sheetData>
  <mergeCells count="2">
    <mergeCell ref="A2:L2"/>
    <mergeCell ref="A1:L1"/>
  </mergeCells>
  <dataValidations count="1">
    <dataValidation sqref="J5:J20"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20"/>
  <sheetViews>
    <sheetView workbookViewId="0">
      <selection activeCell="D8" sqref="D8"/>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HỌC VIỆN &amp; KỲ PHỔ DANH THỦ (COURSE ACADEMY &amp; MASTER GAMES)</t>
        </is>
      </c>
    </row>
    <row r="2" ht="18" customHeight="1" s="34">
      <c r="A2" s="61" t="inlineStr">
        <is>
          <t>Kiểm tra Khóa học lý thuyết, Quiz trắc nghiệm, Lưu tiến độ API, Chứng chỉ, Trình phát ván cờ danh thủ</t>
        </is>
      </c>
    </row>
    <row r="4" ht="25.95" customHeight="1" s="34">
      <c r="A4" s="9" t="inlineStr">
        <is>
          <t>STT</t>
        </is>
      </c>
      <c r="B4" s="9" t="inlineStr">
        <is>
          <t>Mã Test Case</t>
        </is>
      </c>
      <c r="C4" s="9" t="inlineStr">
        <is>
          <t>Phân hệ / Chức năng</t>
        </is>
      </c>
      <c r="D4" s="9" t="inlineStr">
        <is>
          <t>Mục tiêu kiểm thử (Scenario)</t>
        </is>
      </c>
      <c r="E4" s="9" t="inlineStr">
        <is>
          <t>Điều kiện tiên quyết (Pre-conditions)</t>
        </is>
      </c>
      <c r="F4" s="9" t="inlineStr">
        <is>
          <t>Các bước thực hiện (Test Steps)</t>
        </is>
      </c>
      <c r="G4" s="9" t="inlineStr">
        <is>
          <t>Dữ liệu kiểm thử (Test Data)</t>
        </is>
      </c>
      <c r="H4" s="9" t="inlineStr">
        <is>
          <t>Kết quả mong đợi (Expected Result)</t>
        </is>
      </c>
      <c r="I4" s="10" t="inlineStr">
        <is>
          <t>Kết quả thực tế (Actual Result)</t>
        </is>
      </c>
      <c r="J4" s="10" t="inlineStr">
        <is>
          <t>Trạng thái</t>
        </is>
      </c>
      <c r="K4" s="9" t="inlineStr">
        <is>
          <t>Ưu tiên</t>
        </is>
      </c>
      <c r="L4" s="9" t="inlineStr">
        <is>
          <t>Ghi chú / Bug ID</t>
        </is>
      </c>
    </row>
    <row r="5" ht="41.4" customFormat="1" customHeight="1" s="26">
      <c r="A5" s="19" t="n">
        <v>1</v>
      </c>
      <c r="B5" s="20" t="inlineStr">
        <is>
          <t>TC_COU_001</t>
        </is>
      </c>
      <c r="C5" s="38" t="inlineStr">
        <is>
          <t>Khóa học</t>
        </is>
      </c>
      <c r="D5" s="38" t="inlineStr">
        <is>
          <t>Hiển thị danh mục các khóa học tại Học Viện Cờ</t>
        </is>
      </c>
      <c r="E5" s="38" t="inlineStr">
        <is>
          <t>Truy cập vào menu Khóa học (/Course)</t>
        </is>
      </c>
      <c r="F5" s="38" t="inlineStr">
        <is>
          <t>1. Mở trang Khóa học
2. Kiểm tra các module</t>
        </is>
      </c>
      <c r="G5" s="38" t="inlineStr">
        <is>
          <t>Module: Nhập môn, Tàn cuộc, Sát pháp, Bố cục</t>
        </is>
      </c>
      <c r="H5" s="38" t="inlineStr">
        <is>
          <t>Hiển thị đầy đủ 4 module khóa học kèm ảnh bìa, số lượng bài học và mô tả tóm tắt.</t>
        </is>
      </c>
      <c r="I5" s="23" t="inlineStr">
        <is>
          <t>Học viện cờ hiển thị đầy đủ 4 module khóa học: Nhập môn, Tàn cuộc, Sát pháp, Bố cục.</t>
        </is>
      </c>
      <c r="J5" s="134" t="inlineStr">
        <is>
          <t>Pass</t>
        </is>
      </c>
      <c r="K5" s="24" t="inlineStr">
        <is>
          <t>High</t>
        </is>
      </c>
      <c r="L5" s="38" t="n"/>
    </row>
    <row r="6" ht="41.4" customFormat="1" customHeight="1" s="26">
      <c r="A6" s="19" t="n">
        <v>2</v>
      </c>
      <c r="B6" s="20" t="inlineStr">
        <is>
          <t>TC_COU_002</t>
        </is>
      </c>
      <c r="C6" s="38" t="inlineStr">
        <is>
          <t>Khóa học</t>
        </is>
      </c>
      <c r="D6" s="38" t="inlineStr">
        <is>
          <t>Xem chi tiết danh sách bài giảng trong một khóa học</t>
        </is>
      </c>
      <c r="E6" s="38" t="inlineStr">
        <is>
          <t>Chọn khóa học "Nhập Môn Cờ Tướng"</t>
        </is>
      </c>
      <c r="F6" s="38" t="inlineStr">
        <is>
          <t>1. Bấm vào khóa học Nhập môn
2. Kiểm tra các bài giảng</t>
        </is>
      </c>
      <c r="G6" s="38" t="inlineStr">
        <is>
          <t>Khóa học Nhập môn</t>
        </is>
      </c>
      <c r="H6" s="38" t="inlineStr">
        <is>
          <t>Hiển thị danh sách các bài học: Luật 7 quân cờ, Cản chân mã, Cản mắt tượng, Thế trận pháo đầu,...</t>
        </is>
      </c>
      <c r="I6" s="23" t="inlineStr">
        <is>
          <t>Xem chi tiết khóa học hiển thị danh sách bài giảng bài bản theo thứ tự.</t>
        </is>
      </c>
      <c r="J6" s="134" t="inlineStr">
        <is>
          <t>Pass</t>
        </is>
      </c>
      <c r="K6" s="24" t="inlineStr">
        <is>
          <t>High</t>
        </is>
      </c>
      <c r="L6" s="38" t="n"/>
    </row>
    <row r="7" ht="41.4" customFormat="1" customHeight="1" s="26">
      <c r="A7" s="19" t="n">
        <v>3</v>
      </c>
      <c r="B7" s="20" t="inlineStr">
        <is>
          <t>TC_COU_003</t>
        </is>
      </c>
      <c r="C7" s="38" t="inlineStr">
        <is>
          <t>Khóa học</t>
        </is>
      </c>
      <c r="D7" s="38" t="inlineStr">
        <is>
          <t>Xem nội dung bài giảng lý thuyết kèm bàn cờ tương tác</t>
        </is>
      </c>
      <c r="E7" s="38" t="inlineStr">
        <is>
          <t>Mở bài học "Quy tắc di chuyển quân Mã"</t>
        </is>
      </c>
      <c r="F7" s="38" t="inlineStr">
        <is>
          <t>1. Đọc nội dung lý thuyết
2. Quan sát bàn cờ minh họa bên cạnh</t>
        </is>
      </c>
      <c r="G7" s="38" t="inlineStr">
        <is>
          <t>Bài học quân Mã</t>
        </is>
      </c>
      <c r="H7" s="38" t="inlineStr">
        <is>
          <t>Bàn cờ minh họa hiển thị đúng vị trí quân Mã và các mũi tên chỉ hướng đi, cản chân mã.</t>
        </is>
      </c>
      <c r="I7" s="23" t="inlineStr">
        <is>
          <t>Nội dung bài giảng kèm bàn cờ minh họa tương tác hiển thị đúng vị trí quân và mũi tên chỉ dẫn.</t>
        </is>
      </c>
      <c r="J7" s="134" t="inlineStr">
        <is>
          <t>Pass</t>
        </is>
      </c>
      <c r="K7" s="24" t="inlineStr">
        <is>
          <t>High</t>
        </is>
      </c>
      <c r="L7" s="38" t="n"/>
    </row>
    <row r="8" ht="41.4" customFormat="1" customHeight="1" s="26">
      <c r="A8" s="19" t="n">
        <v>4</v>
      </c>
      <c r="B8" s="20" t="inlineStr">
        <is>
          <t>TC_COU_004</t>
        </is>
      </c>
      <c r="C8" s="38" t="inlineStr">
        <is>
          <t>Khóa học</t>
        </is>
      </c>
      <c r="D8" s="38" t="inlineStr">
        <is>
          <t>Thao tác đi thử trên bàn cờ minh họa bài học</t>
        </is>
      </c>
      <c r="E8" s="38" t="inlineStr">
        <is>
          <t>Đang ở bài học tương tác</t>
        </is>
      </c>
      <c r="F8" s="38" t="inlineStr">
        <is>
          <t>1. Chạm vào quân cờ trên bàn cờ bài học
2. Thử đi nước cờ theo hướng dẫn</t>
        </is>
      </c>
      <c r="G8" s="38" t="inlineStr">
        <is>
          <t>Thao tác bàn cờ bài học</t>
        </is>
      </c>
      <c r="H8" s="38" t="inlineStr">
        <is>
          <t>Bàn cờ cho phép đi thử nghiệm nước cờ, có thông báo nhận xét nước đi đúng/sai.</t>
        </is>
      </c>
      <c r="I8" s="23" t="inlineStr">
        <is>
          <t>Bàn cờ bài học cho phép thao tác đi thử nghiệm và phản hồi đúng/sai trực quan.</t>
        </is>
      </c>
      <c r="J8" s="134" t="inlineStr">
        <is>
          <t>Pass</t>
        </is>
      </c>
      <c r="K8" s="25" t="inlineStr">
        <is>
          <t>Medium</t>
        </is>
      </c>
      <c r="L8" s="38" t="n"/>
    </row>
    <row r="9" ht="41.4" customFormat="1" customHeight="1" s="26">
      <c r="A9" s="19" t="n">
        <v>5</v>
      </c>
      <c r="B9" s="20" t="inlineStr">
        <is>
          <t>TC_COU_005</t>
        </is>
      </c>
      <c r="C9" s="38" t="inlineStr">
        <is>
          <t>Trắc nghiệm Quiz</t>
        </is>
      </c>
      <c r="D9" s="38" t="inlineStr">
        <is>
          <t>Làm bài kiểm tra trắc nghiệm cuối bài học</t>
        </is>
      </c>
      <c r="E9" s="38" t="inlineStr">
        <is>
          <t>Đọc xong phần lý thuyết bài học</t>
        </is>
      </c>
      <c r="F9" s="38" t="inlineStr">
        <is>
          <t>1. Bấm nút "Làm bài tập Quiz"
2. Đọc câu hỏi trắc nghiệm</t>
        </is>
      </c>
      <c r="G9" s="38" t="inlineStr">
        <is>
          <t>Câu hỏi Quiz</t>
        </is>
      </c>
      <c r="H9" s="38" t="inlineStr">
        <is>
          <t>Hiển thị câu hỏi kèm bàn cờ tình huống và 4 phương án lựa chọn A, B, C, D.</t>
        </is>
      </c>
      <c r="I9" s="23" t="inlineStr">
        <is>
          <t>Bài kiểm tra Quiz trắc nghiệm hiển thị câu hỏi tình huống kèm 4 phương án A, B, C, D.</t>
        </is>
      </c>
      <c r="J9" s="134" t="inlineStr">
        <is>
          <t>Pass</t>
        </is>
      </c>
      <c r="K9" s="24" t="inlineStr">
        <is>
          <t>High</t>
        </is>
      </c>
      <c r="L9" s="38" t="n"/>
    </row>
    <row r="10" ht="27.6" customFormat="1" customHeight="1" s="26">
      <c r="A10" s="19" t="n">
        <v>6</v>
      </c>
      <c r="B10" s="20" t="inlineStr">
        <is>
          <t>TC_COU_006</t>
        </is>
      </c>
      <c r="C10" s="38" t="inlineStr">
        <is>
          <t>Trắc nghiệm Quiz</t>
        </is>
      </c>
      <c r="D10" s="38" t="inlineStr">
        <is>
          <t>Chọn phương án trả lời ĐÚNG trong bài Quiz</t>
        </is>
      </c>
      <c r="E10" s="38" t="inlineStr">
        <is>
          <t>Đang ở câu hỏi trắc nghiệm</t>
        </is>
      </c>
      <c r="F10" s="38" t="inlineStr">
        <is>
          <t>1. Chọn đáp án chính xác
2. Bấm "Gửi câu trả lời"</t>
        </is>
      </c>
      <c r="G10" s="38" t="inlineStr">
        <is>
          <t>Đáp án đúng</t>
        </is>
      </c>
      <c r="H10" s="38" t="inlineStr">
        <is>
          <t>Hiển thị tích xanh ✔, có âm thanh chúc mừng, cộng điểm tiến độ bài học.</t>
        </is>
      </c>
      <c r="I10" s="23" t="inlineStr">
        <is>
          <t>Chọn đáp án ĐÚNG trong Quiz hiển thị tích xanh ✔, phát âm thanh chúc mừng và cộng điểm tiến độ.</t>
        </is>
      </c>
      <c r="J10" s="134" t="inlineStr">
        <is>
          <t>Pass</t>
        </is>
      </c>
      <c r="K10" s="24" t="inlineStr">
        <is>
          <t>High</t>
        </is>
      </c>
      <c r="L10" s="38" t="inlineStr">
        <is>
          <t>BUG_013 (Đã fix ở Chu kỳ 2 - Commit 65ae81d)</t>
        </is>
      </c>
    </row>
    <row r="11" ht="41.4" customFormat="1" customHeight="1" s="26">
      <c r="A11" s="19" t="n">
        <v>7</v>
      </c>
      <c r="B11" s="20" t="inlineStr">
        <is>
          <t>TC_COU_007</t>
        </is>
      </c>
      <c r="C11" s="38" t="inlineStr">
        <is>
          <t>Trắc nghiệm Quiz</t>
        </is>
      </c>
      <c r="D11" s="38" t="inlineStr">
        <is>
          <t>Chọn phương án trả lời SAI trong bài Quiz</t>
        </is>
      </c>
      <c r="E11" s="38" t="inlineStr">
        <is>
          <t>Đang ở câu hỏi trắc nghiệm</t>
        </is>
      </c>
      <c r="F11" s="38" t="inlineStr">
        <is>
          <t>1. Chọn một đáp án sai
2. Bấm "Gửi câu trả lời"</t>
        </is>
      </c>
      <c r="G11" s="38" t="inlineStr">
        <is>
          <t>Đáp án sai</t>
        </is>
      </c>
      <c r="H11" s="38" t="inlineStr">
        <is>
          <t>Hiển thị dấu X đỏ ✖, hiển thị giải thích chi tiết vì sao đáp án đó chưa chính xác và cho phép thử lại.</t>
        </is>
      </c>
      <c r="I11" s="23" t="inlineStr">
        <is>
          <t>Chọn đáp án SAI trong Quiz hiển thị dấu X đỏ ✖ kèm lời giải thích chi tiết vì sao sai.</t>
        </is>
      </c>
      <c r="J11" s="134" t="inlineStr">
        <is>
          <t>Pass</t>
        </is>
      </c>
      <c r="K11" s="25" t="inlineStr">
        <is>
          <t>Medium</t>
        </is>
      </c>
      <c r="L11" s="38" t="n"/>
    </row>
    <row r="12" ht="41.4" customFormat="1" customHeight="1" s="26">
      <c r="A12" s="19" t="n">
        <v>8</v>
      </c>
      <c r="B12" s="20" t="inlineStr">
        <is>
          <t>TC_COU_008</t>
        </is>
      </c>
      <c r="C12" s="38" t="inlineStr">
        <is>
          <t>Lưu tiến độ</t>
        </is>
      </c>
      <c r="D12" s="38" t="inlineStr">
        <is>
          <t>Lưu tiến độ học tập tự động lên máy chủ qua API</t>
        </is>
      </c>
      <c r="E12" s="38" t="inlineStr">
        <is>
          <t>Người dùng hoàn thành 1 bài học</t>
        </is>
      </c>
      <c r="F12" s="38" t="inlineStr">
        <is>
          <t>1. Hoàn thành bài học và quiz
2. Kiểm tra lưu trữ CSDL</t>
        </is>
      </c>
      <c r="G12" s="38" t="inlineStr">
        <is>
          <t>API /api/courses/progress</t>
        </is>
      </c>
      <c r="H12" s="38" t="inlineStr">
        <is>
          <t>Máy chủ lưu trạng thái isCompleted = true, điểm quizScore = 100%, tỷ lệ % hoàn thành khóa học tăng lên.</t>
        </is>
      </c>
      <c r="I12" s="23" t="inlineStr">
        <is>
          <t>Lưu tiến độ qua API /api/courses/progress: Ghi nhận isCompleted = true và cập nhật % khóa học.</t>
        </is>
      </c>
      <c r="J12" s="134" t="inlineStr">
        <is>
          <t>Pass</t>
        </is>
      </c>
      <c r="K12" s="24" t="inlineStr">
        <is>
          <t>High</t>
        </is>
      </c>
      <c r="L12" s="38" t="inlineStr">
        <is>
          <t>BUG_006 (Đã fix ở Chu kỳ 2 - Commit 65ae81d)</t>
        </is>
      </c>
    </row>
    <row r="13" ht="55.2" customFormat="1" customHeight="1" s="26">
      <c r="A13" s="19" t="n">
        <v>9</v>
      </c>
      <c r="B13" s="20" t="inlineStr">
        <is>
          <t>TC_COU_009</t>
        </is>
      </c>
      <c r="C13" s="38" t="inlineStr">
        <is>
          <t>Chứng chỉ</t>
        </is>
      </c>
      <c r="D13" s="38" t="inlineStr">
        <is>
          <t>Cấp Chứng chỉ hoàn thành khóa học (Certificate)</t>
        </is>
      </c>
      <c r="E13" s="38" t="inlineStr">
        <is>
          <t>Người dùng hoàn thành 100% tất cả bài học trong khóa</t>
        </is>
      </c>
      <c r="F13" s="38" t="inlineStr">
        <is>
          <t>1. Hoàn thành bài học cuối cùng
2. Bấm "Xem Chứng Chỉ"</t>
        </is>
      </c>
      <c r="G13" s="38" t="inlineStr">
        <is>
          <t>Khóa học 100%</t>
        </is>
      </c>
      <c r="H13" s="38" t="inlineStr">
        <is>
          <t>Hệ thống hiển thị Chứng chỉ tốt nghiệp trang trọng với tên người học, tên khóa học, ngày cấp và mã chứng nhận.</t>
        </is>
      </c>
      <c r="I13" s="23" t="inlineStr">
        <is>
          <t>Hoàn thành 100% khóa học: Cấp Chứng chỉ tốt nghiệp điện tử trang trọng kèm mã xác thực.</t>
        </is>
      </c>
      <c r="J13" s="134" t="inlineStr">
        <is>
          <t>Pass</t>
        </is>
      </c>
      <c r="K13" s="25" t="inlineStr">
        <is>
          <t>Medium</t>
        </is>
      </c>
      <c r="L13" s="38" t="inlineStr">
        <is>
          <t>BUG_005 (Đã fix ở Chu kỳ 2 - Commit 65ae81d)</t>
        </is>
      </c>
    </row>
    <row r="14" ht="55.2" customFormat="1" customHeight="1" s="26">
      <c r="A14" s="19" t="n">
        <v>10</v>
      </c>
      <c r="B14" s="20" t="inlineStr">
        <is>
          <t>TC_MAS_001</t>
        </is>
      </c>
      <c r="C14" s="38" t="inlineStr">
        <is>
          <t>Kỳ phổ danh thủ</t>
        </is>
      </c>
      <c r="D14" s="38" t="inlineStr">
        <is>
          <t>Xem danh mục các ván cờ danh thủ kinh điển</t>
        </is>
      </c>
      <c r="E14" s="38" t="inlineStr">
        <is>
          <t>Truy cập vào menu Kỳ phổ (/MasterGame)</t>
        </is>
      </c>
      <c r="F14" s="38" t="inlineStr">
        <is>
          <t>1. Mở trang Kỳ phổ
2. Kiểm tra danh sách ván đấu</t>
        </is>
      </c>
      <c r="G14" s="38" t="inlineStr">
        <is>
          <t>Danh mục Kỳ phổ</t>
        </is>
      </c>
      <c r="H14" s="38" t="inlineStr">
        <is>
          <t>Hiển thị danh sách các ván đấu đỉnh cao của các đại sư (Hứa Ngân Xuyên, Vương Thiên Nhất, Lại Lý Huynh, Hồ Vinh Hoa,...).</t>
        </is>
      </c>
      <c r="I14" s="23" t="inlineStr">
        <is>
          <t>Danh mục Kỳ phổ hiển thị các ván đấu kinh điển của đại sư (Hứa Ngân Xuyên, Vương Thiên Nhất,...).</t>
        </is>
      </c>
      <c r="J14" s="134" t="inlineStr">
        <is>
          <t>Pass</t>
        </is>
      </c>
      <c r="K14" s="24" t="inlineStr">
        <is>
          <t>High</t>
        </is>
      </c>
      <c r="L14" s="38" t="n"/>
    </row>
    <row r="15" ht="41.4" customFormat="1" customHeight="1" s="26">
      <c r="A15" s="19" t="n">
        <v>11</v>
      </c>
      <c r="B15" s="20" t="inlineStr">
        <is>
          <t>TC_MAS_002</t>
        </is>
      </c>
      <c r="C15" s="38" t="inlineStr">
        <is>
          <t>Kỳ phổ danh thủ</t>
        </is>
      </c>
      <c r="D15" s="38" t="inlineStr">
        <is>
          <t>Tìm kiếm ván cờ theo tên danh thủ</t>
        </is>
      </c>
      <c r="E15" s="38" t="inlineStr">
        <is>
          <t>Trang Kỳ phổ danh thủ</t>
        </is>
      </c>
      <c r="F15" s="38" t="inlineStr">
        <is>
          <t>1. Nhập "Vương Thiên Nhất" vào ô tìm kiếm
2. Bấm Tìm kiếm</t>
        </is>
      </c>
      <c r="G15" s="38" t="inlineStr">
        <is>
          <t>Từ khóa: Vương Thiên Nhất</t>
        </is>
      </c>
      <c r="H15" s="38" t="inlineStr">
        <is>
          <t>Bộ lọc hiển thị chính xác các ván cờ do danh thủ Vương Thiên Nhất thi đấu.</t>
        </is>
      </c>
      <c r="I15" s="23" t="inlineStr">
        <is>
          <t>Tìm kiếm kỳ phổ theo tên danh thủ 'Vương Thiên Nhất' lọc chính xác các ván đấu tương ứng.</t>
        </is>
      </c>
      <c r="J15" s="134" t="inlineStr">
        <is>
          <t>Pass</t>
        </is>
      </c>
      <c r="K15" s="25" t="inlineStr">
        <is>
          <t>Medium</t>
        </is>
      </c>
      <c r="L15" s="38" t="n"/>
    </row>
    <row r="16" ht="27.6" customFormat="1" customHeight="1" s="26">
      <c r="A16" s="19" t="n">
        <v>12</v>
      </c>
      <c r="B16" s="20" t="inlineStr">
        <is>
          <t>TC_MAS_003</t>
        </is>
      </c>
      <c r="C16" s="38" t="inlineStr">
        <is>
          <t>Kỳ phổ danh thủ</t>
        </is>
      </c>
      <c r="D16" s="38" t="inlineStr">
        <is>
          <t>Lọc ván cờ theo giải đấu và năm thi đấu</t>
        </is>
      </c>
      <c r="E16" s="38" t="inlineStr">
        <is>
          <t>Trang Kỳ phổ danh thủ</t>
        </is>
      </c>
      <c r="F16" s="38" t="inlineStr">
        <is>
          <t>1. Chọn giải "Giáp Cấp Liên Tái"
2. Bấm Lọc</t>
        </is>
      </c>
      <c r="G16" s="38" t="inlineStr">
        <is>
          <t>Giải đấu: Giáp Cấp Liên Tái</t>
        </is>
      </c>
      <c r="H16" s="38" t="inlineStr">
        <is>
          <t>Hiển thị các ván đấu thuộc giải đấu đã chọn.</t>
        </is>
      </c>
      <c r="I16" s="23" t="inlineStr">
        <is>
          <t>Lọc kỳ phổ theo giải đấu và năm thi đấu hiển thị danh sách ván đấu chuẩn xác.</t>
        </is>
      </c>
      <c r="J16" s="134" t="inlineStr">
        <is>
          <t>Pass</t>
        </is>
      </c>
      <c r="K16" s="25" t="inlineStr">
        <is>
          <t>Medium</t>
        </is>
      </c>
      <c r="L16" s="38" t="n"/>
    </row>
    <row r="17" ht="41.4" customFormat="1" customHeight="1" s="26">
      <c r="A17" s="19" t="n">
        <v>13</v>
      </c>
      <c r="B17" s="20" t="inlineStr">
        <is>
          <t>TC_MAS_004</t>
        </is>
      </c>
      <c r="C17" s="38" t="inlineStr">
        <is>
          <t>Kỳ phổ danh thủ</t>
        </is>
      </c>
      <c r="D17" s="38" t="inlineStr">
        <is>
          <t>Mở chi tiết một ván cờ danh thủ để nghiên cứu</t>
        </is>
      </c>
      <c r="E17" s="38" t="inlineStr">
        <is>
          <t>Bấm vào ván cờ "Hứa Ngân Xuyên vs Lữ Khâm (1998)"</t>
        </is>
      </c>
      <c r="F17" s="38" t="inlineStr">
        <is>
          <t>1. Mở ván cờ
2. Quan sát giao diện trình phát</t>
        </is>
      </c>
      <c r="G17" s="38" t="inlineStr">
        <is>
          <t>Ván cờ kinh điển</t>
        </is>
      </c>
      <c r="H17" s="38" t="inlineStr">
        <is>
          <t>Bàn cờ tải đúng thế cờ ban đầu, hiển thị danh sách toàn bộ nước đi PGN, thông tin hai bên và kết quả trận.</t>
        </is>
      </c>
      <c r="I17" s="23" t="inlineStr">
        <is>
          <t>Mở ván cờ danh thủ tải đúng thế cờ ban đầu, danh sách nước đi PGN và thông tin hai bên.</t>
        </is>
      </c>
      <c r="J17" s="134" t="inlineStr">
        <is>
          <t>Pass</t>
        </is>
      </c>
      <c r="K17" s="24" t="inlineStr">
        <is>
          <t>High</t>
        </is>
      </c>
      <c r="L17" s="38" t="n"/>
    </row>
    <row r="18" ht="41.4" customFormat="1" customHeight="1" s="26">
      <c r="A18" s="19" t="n">
        <v>14</v>
      </c>
      <c r="B18" s="20" t="inlineStr">
        <is>
          <t>TC_MAS_005</t>
        </is>
      </c>
      <c r="C18" s="38" t="inlineStr">
        <is>
          <t>Trình phát kỳ phổ</t>
        </is>
      </c>
      <c r="D18" s="38" t="inlineStr">
        <is>
          <t>Điều khiển xem ván cờ với nút Nước trước và Nước sau</t>
        </is>
      </c>
      <c r="E18" s="38" t="inlineStr">
        <is>
          <t>Đang mở ván cờ danh thủ</t>
        </is>
      </c>
      <c r="F18" s="38" t="inlineStr">
        <is>
          <t>1. Bấm nút "Nước sau" (Next) 3 lần
2. Bấm nút "Nước trước" (Prev) 1 lần</t>
        </is>
      </c>
      <c r="G18" s="38" t="inlineStr">
        <is>
          <t>Nút Next / Prev</t>
        </is>
      </c>
      <c r="H18" s="38" t="inlineStr">
        <is>
          <t>Quân cờ trên bàn tự động di chuyển tiến/lùi chính xác theo đúng từng nước đi của danh thủ.</t>
        </is>
      </c>
      <c r="I18" s="23" t="inlineStr">
        <is>
          <t>Nút Nước trước (Prev) và Nước sau (Next) di chuyển quân cờ tiến/lùi chuẩn xác theo danh thủ.</t>
        </is>
      </c>
      <c r="J18" s="134" t="inlineStr">
        <is>
          <t>Pass</t>
        </is>
      </c>
      <c r="K18" s="24" t="inlineStr">
        <is>
          <t>High</t>
        </is>
      </c>
      <c r="L18" s="38" t="n"/>
    </row>
    <row r="19" ht="41.4" customFormat="1" customHeight="1" s="26">
      <c r="A19" s="19" t="n">
        <v>15</v>
      </c>
      <c r="B19" s="20" t="inlineStr">
        <is>
          <t>TC_MAS_006</t>
        </is>
      </c>
      <c r="C19" s="38" t="inlineStr">
        <is>
          <t>Trình phát kỳ phổ</t>
        </is>
      </c>
      <c r="D19" s="38" t="inlineStr">
        <is>
          <t>Điều khiển về Đầu ván (First) và Đến cuối ván (Last)</t>
        </is>
      </c>
      <c r="E19" s="38" t="inlineStr">
        <is>
          <t>Đang ở giữa ván cờ</t>
        </is>
      </c>
      <c r="F19" s="38" t="inlineStr">
        <is>
          <t>1. Bấm nút "Về đầu ván"
2. Bấm nút "Đến cuối ván"</t>
        </is>
      </c>
      <c r="G19" s="38" t="inlineStr">
        <is>
          <t>Nút First / Last</t>
        </is>
      </c>
      <c r="H19" s="38" t="inlineStr">
        <is>
          <t>Về đầu: Bàn cờ trở lại vị trí xuất phát ban đầu. Đến cuối: Bàn cờ nhảy ngay đến thế trận kết thúc ván.</t>
        </is>
      </c>
      <c r="I19" s="23" t="inlineStr">
        <is>
          <t>Nút Về đầu (First) và Đến cuối (Last) chuyển ngay về thế cờ ban đầu hoặc thế cờ kết thúc ván.</t>
        </is>
      </c>
      <c r="J19" s="134" t="inlineStr">
        <is>
          <t>Pass</t>
        </is>
      </c>
      <c r="K19" s="25" t="inlineStr">
        <is>
          <t>Medium</t>
        </is>
      </c>
      <c r="L19" s="38" t="n"/>
    </row>
    <row r="20" ht="41.4" customFormat="1" customHeight="1" s="26">
      <c r="A20" s="19" t="n">
        <v>16</v>
      </c>
      <c r="B20" s="20" t="inlineStr">
        <is>
          <t>TC_MAS_007</t>
        </is>
      </c>
      <c r="C20" s="38" t="inlineStr">
        <is>
          <t>Trình phát kỳ phổ</t>
        </is>
      </c>
      <c r="D20" s="38" t="inlineStr">
        <is>
          <t>Tính năng Tự động phát ván cờ (Auto-play)</t>
        </is>
      </c>
      <c r="E20" s="38" t="inlineStr">
        <is>
          <t>Đang ở đầu ván cờ</t>
        </is>
      </c>
      <c r="F20" s="38" t="inlineStr">
        <is>
          <t>1. Bấm nút "Tự động phát" (Play)
2. Quan sát bàn cờ chạy</t>
        </is>
      </c>
      <c r="G20" s="38" t="inlineStr">
        <is>
          <t>Nút Auto-play</t>
        </is>
      </c>
      <c r="H20" s="38" t="inlineStr">
        <is>
          <t>Bàn cờ tự động đi từng nước theo chu kỳ 1.5 giây/nước, danh sách nước đi bên phải tự cuộn theo nước hiện tại.</t>
        </is>
      </c>
      <c r="I20" s="23" t="inlineStr">
        <is>
          <t>Tự động phát ván cờ (Auto-play) đi từng nước theo chu kỳ 1.5s và tự cuộn danh sách nước đi.</t>
        </is>
      </c>
      <c r="J20" s="134" t="inlineStr">
        <is>
          <t>Pass</t>
        </is>
      </c>
      <c r="K20" s="25" t="inlineStr">
        <is>
          <t>Medium</t>
        </is>
      </c>
      <c r="L20" s="38" t="n"/>
    </row>
  </sheetData>
  <mergeCells count="2">
    <mergeCell ref="A2:L2"/>
    <mergeCell ref="A1:L1"/>
  </mergeCells>
  <dataValidations count="1">
    <dataValidation sqref="J5:J20"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6"/>
  <sheetViews>
    <sheetView topLeftCell="A7" workbookViewId="0">
      <selection activeCell="F14" sqref="F14"/>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PHÂN HỆ QUẢN TRỊ VIÊN (ADMINISTRATION &amp; CMS)</t>
        </is>
      </c>
    </row>
    <row r="2" ht="18" customHeight="1" s="34">
      <c r="A2" s="61" t="inlineStr">
        <is>
          <t>Kiểm tra Phân quyền Admin, Quản lý tài khoản, Quản lý bài cờ thế FEN, Quản lý khóa học, AI Benchmark</t>
        </is>
      </c>
    </row>
    <row r="4" ht="25.95" customHeight="1" s="34">
      <c r="A4" s="18" t="inlineStr">
        <is>
          <t>STT</t>
        </is>
      </c>
      <c r="B4" s="18" t="inlineStr">
        <is>
          <t>Mã Test Case</t>
        </is>
      </c>
      <c r="C4" s="18" t="inlineStr">
        <is>
          <t>Phân hệ / Chức năng</t>
        </is>
      </c>
      <c r="D4" s="18" t="inlineStr">
        <is>
          <t>Mục tiêu kiểm thử (Scenario)</t>
        </is>
      </c>
      <c r="E4" s="18" t="inlineStr">
        <is>
          <t>Điều kiện tiên quyết (Pre-conditions)</t>
        </is>
      </c>
      <c r="F4" s="18" t="inlineStr">
        <is>
          <t>Các bước thực hiện (Test Steps)</t>
        </is>
      </c>
      <c r="G4" s="18" t="inlineStr">
        <is>
          <t>Dữ liệu kiểm thử (Test Data)</t>
        </is>
      </c>
      <c r="H4" s="18" t="inlineStr">
        <is>
          <t>Kết quả mong đợi (Expected Result)</t>
        </is>
      </c>
      <c r="I4" s="22" t="inlineStr">
        <is>
          <t>Kết quả thực tế (Actual Result)</t>
        </is>
      </c>
      <c r="J4" s="22" t="inlineStr">
        <is>
          <t>Trạng thái</t>
        </is>
      </c>
      <c r="K4" s="18" t="inlineStr">
        <is>
          <t>Ưu tiên</t>
        </is>
      </c>
      <c r="L4" s="18" t="inlineStr">
        <is>
          <t>Ghi chú / Bug ID</t>
        </is>
      </c>
    </row>
    <row r="5" ht="41.4" customHeight="1" s="34">
      <c r="A5" s="19" t="n">
        <v>1</v>
      </c>
      <c r="B5" s="20" t="inlineStr">
        <is>
          <t>TC_ADM_001</t>
        </is>
      </c>
      <c r="C5" s="38" t="inlineStr">
        <is>
          <t>Đăng nhập Admin</t>
        </is>
      </c>
      <c r="D5" s="38" t="inlineStr">
        <is>
          <t>Đăng nhập tài khoản có quyền Quản trị viên (Admin)</t>
        </is>
      </c>
      <c r="E5" s="38" t="inlineStr">
        <is>
          <t>Tài khoản có Role = "Admin" trong CSDL</t>
        </is>
      </c>
      <c r="F5" s="38" t="inlineStr">
        <is>
          <t>1. Đăng nhập tài khoản admin
2. Bấm vào menu "Quản trị" (/Admin)</t>
        </is>
      </c>
      <c r="G5" s="38" t="inlineStr">
        <is>
          <t>Tài khoản Admin</t>
        </is>
      </c>
      <c r="H5" s="38" t="inlineStr">
        <is>
          <t>Truy cập thành công vào Bảng điều khiển quản trị viên, hiển thị đầy đủ các menu quản lý.</t>
        </is>
      </c>
      <c r="I5" s="23" t="inlineStr">
        <is>
          <t>Đăng nhập tài khoản quyền Admin truy cập thành công vào Bảng điều khiển quản trị viên /Admin.</t>
        </is>
      </c>
      <c r="J5" s="134" t="inlineStr">
        <is>
          <t>Pass</t>
        </is>
      </c>
      <c r="K5" s="24" t="inlineStr">
        <is>
          <t>High</t>
        </is>
      </c>
      <c r="L5" s="38" t="n"/>
    </row>
    <row r="6" ht="55.2" customHeight="1" s="34">
      <c r="A6" s="19" t="n">
        <v>2</v>
      </c>
      <c r="B6" s="20" t="inlineStr">
        <is>
          <t>TC_ADM_002</t>
        </is>
      </c>
      <c r="C6" s="38" t="inlineStr">
        <is>
          <t>Phân quyền</t>
        </is>
      </c>
      <c r="D6" s="38" t="inlineStr">
        <is>
          <t>Tài khoản thường (Role: User) bị chặn khi truy cập /Admin</t>
        </is>
      </c>
      <c r="E6" s="38" t="inlineStr">
        <is>
          <t>Đăng nhập tài khoản thường</t>
        </is>
      </c>
      <c r="F6" s="38" t="inlineStr">
        <is>
          <t>1. Cố tình gõ trực tiếp URL http://localhost:5000/Admin trên thanh địa chỉ
2. Bấm Enter</t>
        </is>
      </c>
      <c r="G6" s="38" t="inlineStr">
        <is>
          <t>Tài khoản User</t>
        </is>
      </c>
      <c r="H6" s="38" t="inlineStr">
        <is>
          <t>Hệ thống chặn truy cập, chuyển hướng sang trang Từ chối quyền truy cập (Access Denied - 403 Forbidden).</t>
        </is>
      </c>
      <c r="I6" s="23" t="inlineStr">
        <is>
          <t>Tài khoản thường (User) cố tình truy cập /Admin bị chặn và trả về 403 Forbidden / Access Denied.</t>
        </is>
      </c>
      <c r="J6" s="134" t="inlineStr">
        <is>
          <t>Pass</t>
        </is>
      </c>
      <c r="K6" s="24" t="inlineStr">
        <is>
          <t>High</t>
        </is>
      </c>
      <c r="L6" s="38" t="inlineStr">
        <is>
          <t>BUG_003 (Đã fix ở Chu kỳ 2 - Commit 65ae81d)</t>
        </is>
      </c>
    </row>
    <row r="7" ht="55.2" customHeight="1" s="34">
      <c r="A7" s="19" t="n">
        <v>3</v>
      </c>
      <c r="B7" s="20" t="inlineStr">
        <is>
          <t>TC_ADM_003</t>
        </is>
      </c>
      <c r="C7" s="38" t="inlineStr">
        <is>
          <t>Quản lý người dùng</t>
        </is>
      </c>
      <c r="D7" s="38" t="inlineStr">
        <is>
          <t>Xem danh sách toàn bộ người dùng trong hệ thống</t>
        </is>
      </c>
      <c r="E7" s="38" t="inlineStr">
        <is>
          <t>Admin ở trang /Admin/Users</t>
        </is>
      </c>
      <c r="F7" s="38" t="inlineStr">
        <is>
          <t>1. Mở mục Quản lý người dùng
2. Kiểm tra danh sách bảng</t>
        </is>
      </c>
      <c r="G7" s="38" t="inlineStr">
        <is>
          <t>Trang /Admin/Users</t>
        </is>
      </c>
      <c r="H7" s="38" t="inlineStr">
        <is>
          <t>Hiển thị danh sách người dùng gồm: ID, Username, Email, Điểm Elo, Ngày tạo, Vai trò (Role), Trạng thái kích hoạt.</t>
        </is>
      </c>
      <c r="I7" s="23" t="inlineStr">
        <is>
          <t>Trang /Admin/Users hiển thị danh sách người dùng gồm ID, Username, Email, Elo, Role, IsActive.</t>
        </is>
      </c>
      <c r="J7" s="134" t="inlineStr">
        <is>
          <t>Pass</t>
        </is>
      </c>
      <c r="K7" s="24" t="inlineStr">
        <is>
          <t>High</t>
        </is>
      </c>
      <c r="L7" s="38" t="n"/>
    </row>
    <row r="8" ht="27.6" customHeight="1" s="34">
      <c r="A8" s="19" t="n">
        <v>4</v>
      </c>
      <c r="B8" s="20" t="inlineStr">
        <is>
          <t>TC_ADM_004</t>
        </is>
      </c>
      <c r="C8" s="38" t="inlineStr">
        <is>
          <t>Quản lý người dùng</t>
        </is>
      </c>
      <c r="D8" s="38" t="inlineStr">
        <is>
          <t>Tìm kiếm người dùng theo Tên hoặc Email</t>
        </is>
      </c>
      <c r="E8" s="38" t="inlineStr">
        <is>
          <t>Ở trang Quản lý người dùng</t>
        </is>
      </c>
      <c r="F8" s="38" t="inlineStr">
        <is>
          <t>1. Nhập từ khóa tìm kiếm
2. Bấm nút Lọc</t>
        </is>
      </c>
      <c r="G8" s="38" t="inlineStr">
        <is>
          <t>Từ khóa: kythu2026</t>
        </is>
      </c>
      <c r="H8" s="38" t="inlineStr">
        <is>
          <t>Bảng kết quả lọc chính xác tài khoản khớp với từ khóa tìm kiếm.</t>
        </is>
      </c>
      <c r="I8" s="23" t="inlineStr">
        <is>
          <t>Tìm kiếm người dùng theo từ khóa lọc chính xác tài khoản trong hệ thống.</t>
        </is>
      </c>
      <c r="J8" s="134" t="inlineStr">
        <is>
          <t>Pass</t>
        </is>
      </c>
      <c r="K8" s="25" t="inlineStr">
        <is>
          <t>Medium</t>
        </is>
      </c>
      <c r="L8" s="38" t="n"/>
    </row>
    <row r="9" ht="41.4" customHeight="1" s="34">
      <c r="A9" s="19" t="n">
        <v>5</v>
      </c>
      <c r="B9" s="20" t="inlineStr">
        <is>
          <t>TC_ADM_005</t>
        </is>
      </c>
      <c r="C9" s="38" t="inlineStr">
        <is>
          <t>Quản lý người dùng</t>
        </is>
      </c>
      <c r="D9" s="38" t="inlineStr">
        <is>
          <t>Khóa tài khoản người dùng vi phạm quy định</t>
        </is>
      </c>
      <c r="E9" s="38" t="inlineStr">
        <is>
          <t>Tài khoản đang hoạt động (IsActive = true)</t>
        </is>
      </c>
      <c r="F9" s="38" t="inlineStr">
        <is>
          <t>1. Tìm người dùng cần khóa
2. Bấm nút "Khóa tài khoản"
3. Xác nhận thao tác</t>
        </is>
      </c>
      <c r="G9" s="38" t="inlineStr">
        <is>
          <t>Hành động: Khóa</t>
        </is>
      </c>
      <c r="H9" s="38" t="inlineStr">
        <is>
          <t>Trạng thái chuyển thành "Đã khóa", người dùng này không thể đăng nhập vào hệ thống được nữa.</t>
        </is>
      </c>
      <c r="I9" s="23" t="inlineStr">
        <is>
          <t>Khóa tài khoản người dùng: Trạng thái chuyển thành 'Đã khóa' và ngăn chặn người này đăng nhập.</t>
        </is>
      </c>
      <c r="J9" s="134" t="inlineStr">
        <is>
          <t>Pass</t>
        </is>
      </c>
      <c r="K9" s="24" t="inlineStr">
        <is>
          <t>High</t>
        </is>
      </c>
      <c r="L9" s="38" t="inlineStr">
        <is>
          <t>BUG_014 (Đã fix ở Chu kỳ 2 - Commit 65ae81d)</t>
        </is>
      </c>
    </row>
    <row r="10" ht="27.6" customHeight="1" s="34">
      <c r="A10" s="19" t="n">
        <v>6</v>
      </c>
      <c r="B10" s="20" t="inlineStr">
        <is>
          <t>TC_ADM_006</t>
        </is>
      </c>
      <c r="C10" s="38" t="inlineStr">
        <is>
          <t>Quản lý người dùng</t>
        </is>
      </c>
      <c r="D10" s="38" t="inlineStr">
        <is>
          <t>Mở khóa lại tài khoản người dùng</t>
        </is>
      </c>
      <c r="E10" s="38" t="inlineStr">
        <is>
          <t>Tài khoản đang bị khóa</t>
        </is>
      </c>
      <c r="F10" s="38" t="inlineStr">
        <is>
          <t>1. Bấm nút "Mở khóa tài khoản"
2. Xác nhận</t>
        </is>
      </c>
      <c r="G10" s="38" t="inlineStr">
        <is>
          <t>Hành động: Mở khóa</t>
        </is>
      </c>
      <c r="H10" s="38" t="inlineStr">
        <is>
          <t>Trạng thái chuyển thành "Hoạt động", người dùng đăng nhập lại bình thường.</t>
        </is>
      </c>
      <c r="I10" s="23" t="inlineStr">
        <is>
          <t>Mở khóa tài khoản: Trạng thái chuyển thành 'Hoạt động' và người dùng đăng nhập lại bình thường.</t>
        </is>
      </c>
      <c r="J10" s="134" t="inlineStr">
        <is>
          <t>Pass</t>
        </is>
      </c>
      <c r="K10" s="25" t="inlineStr">
        <is>
          <t>Medium</t>
        </is>
      </c>
      <c r="L10" s="38" t="n"/>
    </row>
    <row r="11" ht="41.4" customHeight="1" s="34">
      <c r="A11" s="19" t="n">
        <v>7</v>
      </c>
      <c r="B11" s="20" t="inlineStr">
        <is>
          <t>TC_ADM_007</t>
        </is>
      </c>
      <c r="C11" s="38" t="inlineStr">
        <is>
          <t>Quản lý Cờ thế</t>
        </is>
      </c>
      <c r="D11" s="38" t="inlineStr">
        <is>
          <t>Xem danh sách kho bài tập cờ thế trong CMS</t>
        </is>
      </c>
      <c r="E11" s="38" t="inlineStr">
        <is>
          <t>Admin ở trang /Admin/Puzzles</t>
        </is>
      </c>
      <c r="F11" s="38" t="inlineStr">
        <is>
          <t>1. Mở Quản lý cờ thế
2. Kiểm tra danh sách</t>
        </is>
      </c>
      <c r="G11" s="38" t="inlineStr">
        <is>
          <t>Trang /Admin/Puzzles</t>
        </is>
      </c>
      <c r="H11" s="38" t="inlineStr">
        <is>
          <t>Hiển thị danh sách các bài cờ thế kèm chuỗi FEN, cấp độ khó, số nước chiếu bí.</t>
        </is>
      </c>
      <c r="I11" s="23" t="inlineStr">
        <is>
          <t>CMS Quản lý Cờ thế hiển thị danh sách bài cờ kèm chuỗi FEN, cấp độ khó và số nước chiếu bí.</t>
        </is>
      </c>
      <c r="J11" s="134" t="inlineStr">
        <is>
          <t>Pass</t>
        </is>
      </c>
      <c r="K11" s="24" t="inlineStr">
        <is>
          <t>High</t>
        </is>
      </c>
      <c r="L11" s="38" t="n"/>
    </row>
    <row r="12" ht="69" customHeight="1" s="34">
      <c r="A12" s="19" t="n">
        <v>8</v>
      </c>
      <c r="B12" s="20" t="inlineStr">
        <is>
          <t>TC_ADM_008</t>
        </is>
      </c>
      <c r="C12" s="38" t="inlineStr">
        <is>
          <t>Quản lý Cờ thế</t>
        </is>
      </c>
      <c r="D12" s="38" t="inlineStr">
        <is>
          <t>Thêm bài cờ thế mới vào hệ thống</t>
        </is>
      </c>
      <c r="E12" s="38" t="inlineStr">
        <is>
          <t>Admin bấm "Thêm bài cờ thế"</t>
        </is>
      </c>
      <c r="F12" s="38" t="inlineStr">
        <is>
          <t>1. Nhập Tiêu đề bài cờ
2. Nhập chuỗi FEN ban đầu
3. Nhập chuỗi nước đi đáp án
4. Chọn Độ khó
5. Bấm Lưu</t>
        </is>
      </c>
      <c r="G12" s="38" t="inlineStr">
        <is>
          <t>FEN và Đáp án hợp lệ</t>
        </is>
      </c>
      <c r="H12" s="38" t="inlineStr">
        <is>
          <t>Thêm mới thành công vào CSDL, bài cờ xuất hiện ngay lập tức trong kho cờ thế của người chơi.</t>
        </is>
      </c>
      <c r="I12" s="23" t="inlineStr">
        <is>
          <t>Thêm bài cờ thế mới với FEN và đáp án hợp lệ thành công vào CSDL.</t>
        </is>
      </c>
      <c r="J12" s="134" t="inlineStr">
        <is>
          <t>Pass</t>
        </is>
      </c>
      <c r="K12" s="24" t="inlineStr">
        <is>
          <t>High</t>
        </is>
      </c>
      <c r="L12" s="38" t="inlineStr">
        <is>
          <t>BUG_015 (Đã fix ở Chu kỳ 2 - Commit 65ae81d)</t>
        </is>
      </c>
    </row>
    <row r="13" ht="27.6" customHeight="1" s="34">
      <c r="A13" s="19" t="n">
        <v>9</v>
      </c>
      <c r="B13" s="20" t="inlineStr">
        <is>
          <t>TC_ADM_009</t>
        </is>
      </c>
      <c r="C13" s="38" t="inlineStr">
        <is>
          <t>Quản lý Cờ thế</t>
        </is>
      </c>
      <c r="D13" s="38" t="inlineStr">
        <is>
          <t>Chỉnh sửa và Xóa bài cờ thế</t>
        </is>
      </c>
      <c r="E13" s="38" t="inlineStr">
        <is>
          <t>Có bài cờ cần sửa/xóa</t>
        </is>
      </c>
      <c r="F13" s="38" t="inlineStr">
        <is>
          <t>1. Bấm nút "Sửa" hoặc "Xóa" một bài cờ
2. Cập nhật thông tin và Lưu</t>
        </is>
      </c>
      <c r="G13" s="38" t="inlineStr">
        <is>
          <t>Thao tác Edit/Delete</t>
        </is>
      </c>
      <c r="H13" s="38" t="inlineStr">
        <is>
          <t>Thông tin cập nhật chính xác, nếu xóa thì bài cờ bị gỡ khỏi hệ thống.</t>
        </is>
      </c>
      <c r="I13" s="23" t="inlineStr">
        <is>
          <t>Chỉnh sửa thông tin và xóa bài cờ thế trong CMS cập nhật chính xác.</t>
        </is>
      </c>
      <c r="J13" s="134" t="inlineStr">
        <is>
          <t>Pass</t>
        </is>
      </c>
      <c r="K13" s="25" t="inlineStr">
        <is>
          <t>Medium</t>
        </is>
      </c>
      <c r="L13" s="38" t="inlineStr">
        <is>
          <t>BUG_007 (Đã fix ở Chu kỳ 2 - Commit 65ae81d)</t>
        </is>
      </c>
    </row>
    <row r="14" ht="55.2" customHeight="1" s="34">
      <c r="A14" s="19" t="n">
        <v>10</v>
      </c>
      <c r="B14" s="20" t="inlineStr">
        <is>
          <t>TC_ADM_010</t>
        </is>
      </c>
      <c r="C14" s="38" t="inlineStr">
        <is>
          <t>Quản lý Khóa học</t>
        </is>
      </c>
      <c r="D14" s="38" t="inlineStr">
        <is>
          <t>Thêm bài học lý thuyết mới vào khóa học</t>
        </is>
      </c>
      <c r="E14" s="38" t="inlineStr">
        <is>
          <t>Admin ở trang /Admin/Courses</t>
        </is>
      </c>
      <c r="F14" s="38" t="inlineStr">
        <is>
          <t>1. Chọn khóa học cần thêm bài
2. Nhập Tiêu đề bài học
3. Nhập Nội dung bài giảng Markdown
4. Bấm Lưu</t>
        </is>
      </c>
      <c r="G14" s="38" t="inlineStr">
        <is>
          <t>Bài học mới</t>
        </is>
      </c>
      <c r="H14" s="38" t="inlineStr">
        <is>
          <t>Bài học mới được thêm vào cuối danh sách của module khóa học tương ứng.</t>
        </is>
      </c>
      <c r="I14" s="23" t="inlineStr">
        <is>
          <t>Thêm bài học lý thuyết mới bằng Markdown vào module khóa học tương ứng thành công.</t>
        </is>
      </c>
      <c r="J14" s="134" t="inlineStr">
        <is>
          <t>Pass</t>
        </is>
      </c>
      <c r="K14" s="25" t="inlineStr">
        <is>
          <t>Medium</t>
        </is>
      </c>
      <c r="L14" s="38" t="n"/>
    </row>
    <row r="15" ht="55.2" customHeight="1" s="34">
      <c r="A15" s="19" t="n">
        <v>11</v>
      </c>
      <c r="B15" s="20" t="inlineStr">
        <is>
          <t>TC_ADM_011</t>
        </is>
      </c>
      <c r="C15" s="38" t="inlineStr">
        <is>
          <t>Quản lý Khóa học</t>
        </is>
      </c>
      <c r="D15" s="38" t="inlineStr">
        <is>
          <t>Thêm câu hỏi trắc nghiệm Quiz cho bài học</t>
        </is>
      </c>
      <c r="E15" s="38" t="inlineStr">
        <is>
          <t>Ở mục chỉnh sửa bài học</t>
        </is>
      </c>
      <c r="F15" s="38" t="inlineStr">
        <is>
          <t>1. Bấm "Thêm câu hỏi Quiz"
2. Nhập nội dung câu hỏi, 4 phương án và chọn đáp án đúng
3. Bấm Lưu</t>
        </is>
      </c>
      <c r="G15" s="38" t="inlineStr">
        <is>
          <t>Câu hỏi trắc nghiệm</t>
        </is>
      </c>
      <c r="H15" s="38" t="inlineStr">
        <is>
          <t>Câu hỏi trắc nghiệm được lưu thành công và hiển thị khi học viên làm bài.</t>
        </is>
      </c>
      <c r="I15" s="23" t="inlineStr">
        <is>
          <t>Thêm câu hỏi trắc nghiệm Quiz 4 phương án cho bài học lưu trữ thành công.</t>
        </is>
      </c>
      <c r="J15" s="134" t="inlineStr">
        <is>
          <t>Pass</t>
        </is>
      </c>
      <c r="K15" s="25" t="inlineStr">
        <is>
          <t>Medium</t>
        </is>
      </c>
      <c r="L15" s="38" t="n"/>
    </row>
    <row r="16" ht="55.2" customHeight="1" s="34">
      <c r="A16" s="19" t="n">
        <v>12</v>
      </c>
      <c r="B16" s="20" t="inlineStr">
        <is>
          <t>TC_ADM_012</t>
        </is>
      </c>
      <c r="C16" s="38" t="inlineStr">
        <is>
          <t>AI Benchmark</t>
        </is>
      </c>
      <c r="D16" s="38" t="inlineStr">
        <is>
          <t>Chạy công cụ đo hiệu năng thuật toán AI (AI Benchmark)</t>
        </is>
      </c>
      <c r="E16" s="38" t="inlineStr">
        <is>
          <t>Admin ở trang /Admin/AiBenchmark</t>
        </is>
      </c>
      <c r="F16" s="38" t="inlineStr">
        <is>
          <t>1. Mở trang Benchmark
2. Chọn thế cờ thử nghiệm
3. Chọn độ sâu Depth (1 đến 5)
4. Bấm "Chạy Benchmark"</t>
        </is>
      </c>
      <c r="G16" s="38" t="inlineStr">
        <is>
          <t>Depth 1-5</t>
        </is>
      </c>
      <c r="H16" s="38" t="inlineStr">
        <is>
          <t>Hệ thống đo và xuất bảng kết quả: Thời gian tính (ms), Tổng số nodes duyệt, Số nhánh cắt tỉa (Cutoffs), Tốc độ nodes/giây.</t>
        </is>
      </c>
      <c r="I16" s="23" t="inlineStr">
        <is>
          <t>Công cụ AI Benchmark đo thời gian tính toán, số nodes duyệt và tốc độ nodes/giây theo độ sâu Depth 1-5.</t>
        </is>
      </c>
      <c r="J16" s="134" t="inlineStr">
        <is>
          <t>Pass</t>
        </is>
      </c>
      <c r="K16" s="25" t="inlineStr">
        <is>
          <t>Medium</t>
        </is>
      </c>
      <c r="L16" s="38" t="n"/>
    </row>
  </sheetData>
  <mergeCells count="2">
    <mergeCell ref="A2:L2"/>
    <mergeCell ref="A1:L1"/>
  </mergeCells>
  <dataValidations count="1">
    <dataValidation sqref="J5:J16"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L16"/>
  <sheetViews>
    <sheetView topLeftCell="A13" workbookViewId="0">
      <selection activeCell="D9" sqref="D9"/>
    </sheetView>
  </sheetViews>
  <sheetFormatPr baseColWidth="8" defaultRowHeight="14.4" outlineLevelCol="0"/>
  <cols>
    <col width="5.6640625" customWidth="1" style="34" min="1" max="1"/>
    <col width="15.6640625" customWidth="1" style="34" min="2" max="2"/>
    <col width="18.6640625" customWidth="1" style="34" min="3" max="3"/>
    <col width="28.6640625" customWidth="1" style="34" min="4" max="4"/>
    <col width="24.6640625" customWidth="1" style="34" min="5" max="5"/>
    <col width="36.6640625" customWidth="1" style="34" min="6" max="6"/>
    <col width="22.6640625" customWidth="1" style="34" min="7" max="7"/>
    <col width="32.6640625" customWidth="1" style="34" min="8" max="8"/>
    <col width="28.6640625" customWidth="1" style="34" min="9" max="9"/>
    <col width="13.6640625" customWidth="1" style="34" min="10" max="10"/>
    <col width="10.6640625" customWidth="1" style="34" min="11" max="11"/>
    <col width="15.6640625" customWidth="1" style="34" min="12" max="12"/>
  </cols>
  <sheetData>
    <row r="1" ht="24" customHeight="1" s="34">
      <c r="A1" s="62" t="inlineStr">
        <is>
          <t>BỘ KIỂM THỬ ĐẶC THÙ ỨNG DỤNG DI ĐỘNG (MOBILE UI/UX &amp; HARDWARE)</t>
        </is>
      </c>
    </row>
    <row r="2" ht="18" customHeight="1" s="34">
      <c r="A2" s="61" t="inlineStr">
        <is>
          <t>Kiểm tra Cảm ứng chạm/kéo thả quân, Rung Haptic, Âm thanh, Responsive màn hình, Gián đoạn cuộc gọi, Chuyển mạng</t>
        </is>
      </c>
    </row>
    <row r="4" ht="25.95" customHeight="1" s="34">
      <c r="A4" s="18" t="inlineStr">
        <is>
          <t>STT</t>
        </is>
      </c>
      <c r="B4" s="18" t="inlineStr">
        <is>
          <t>Mã Test Case</t>
        </is>
      </c>
      <c r="C4" s="18" t="inlineStr">
        <is>
          <t>Phân hệ / Chức năng</t>
        </is>
      </c>
      <c r="D4" s="18" t="inlineStr">
        <is>
          <t>Mục tiêu kiểm thử (Scenario)</t>
        </is>
      </c>
      <c r="E4" s="18" t="inlineStr">
        <is>
          <t>Điều kiện tiên quyết (Pre-conditions)</t>
        </is>
      </c>
      <c r="F4" s="18" t="inlineStr">
        <is>
          <t>Các bước thực hiện (Test Steps)</t>
        </is>
      </c>
      <c r="G4" s="18" t="inlineStr">
        <is>
          <t>Dữ liệu kiểm thử (Test Data)</t>
        </is>
      </c>
      <c r="H4" s="18" t="inlineStr">
        <is>
          <t>Kết quả mong đợi (Expected Result)</t>
        </is>
      </c>
      <c r="I4" s="22" t="inlineStr">
        <is>
          <t>Kết quả thực tế (Actual Result)</t>
        </is>
      </c>
      <c r="J4" s="22" t="inlineStr">
        <is>
          <t>Trạng thái</t>
        </is>
      </c>
      <c r="K4" s="18" t="inlineStr">
        <is>
          <t>Ưu tiên</t>
        </is>
      </c>
      <c r="L4" s="18" t="inlineStr">
        <is>
          <t>Ghi chú / Bug ID</t>
        </is>
      </c>
    </row>
    <row r="5" ht="41.4" customHeight="1" s="34">
      <c r="A5" s="19" t="n">
        <v>1</v>
      </c>
      <c r="B5" s="20" t="inlineStr">
        <is>
          <t>TC_MOB_001</t>
        </is>
      </c>
      <c r="C5" s="38" t="inlineStr">
        <is>
          <t>Cảm ứng Touch</t>
        </is>
      </c>
      <c r="D5" s="38" t="inlineStr">
        <is>
          <t>Thao tác chạm (Tap) để chọn quân và đi cờ</t>
        </is>
      </c>
      <c r="E5" s="38" t="inlineStr">
        <is>
          <t>Đang trong ván cờ trên điện thoại</t>
        </is>
      </c>
      <c r="F5" s="38" t="inlineStr">
        <is>
          <t>1. Chạm nhẹ ngón tay vào quân Pháo
2. Chạm vào ô đích được chấm tròn gợi ý</t>
        </is>
      </c>
      <c r="G5" s="38" t="inlineStr">
        <is>
          <t>Chạm ngón tay</t>
        </is>
      </c>
      <c r="H5" s="38" t="inlineStr">
        <is>
          <t>Quân cờ được chọn nổi viền sáng vàng, khi chạm ô đích quân cờ di chuyển mượt mà tới ô đó.</t>
        </is>
      </c>
      <c r="I5" s="23" t="inlineStr">
        <is>
          <t>Thao tác chạm (Tap) ngón tay chọn quân nổi viền sáng vàng, chạm ô gợi ý di chuyển mượt mà.</t>
        </is>
      </c>
      <c r="J5" s="134" t="inlineStr">
        <is>
          <t>Pass</t>
        </is>
      </c>
      <c r="K5" s="24" t="inlineStr">
        <is>
          <t>High</t>
        </is>
      </c>
      <c r="L5" s="38" t="n"/>
    </row>
    <row r="6" ht="41.4" customHeight="1" s="34">
      <c r="A6" s="19" t="n">
        <v>2</v>
      </c>
      <c r="B6" s="20" t="inlineStr">
        <is>
          <t>TC_MOB_002</t>
        </is>
      </c>
      <c r="C6" s="38" t="inlineStr">
        <is>
          <t>Kéo thả Drag</t>
        </is>
      </c>
      <c r="D6" s="38" t="inlineStr">
        <is>
          <t>Thao tác kéo thả (Drag &amp; Drop) quân cờ vào ô đích</t>
        </is>
      </c>
      <c r="E6" s="38" t="inlineStr">
        <is>
          <t>Đang trong ván cờ trên điện thoại</t>
        </is>
      </c>
      <c r="F6" s="38" t="inlineStr">
        <is>
          <t>1. Giữ ngón tay vào quân Xe và kéo di chuyển
2. Thả ngón tay vào ô đích</t>
        </is>
      </c>
      <c r="G6" s="38" t="inlineStr">
        <is>
          <t>Kéo và thả</t>
        </is>
      </c>
      <c r="H6" s="38" t="inlineStr">
        <is>
          <t>Quân cờ di chuyển theo ngón tay mượt mà (60fps), khi thả đúng ô hợp lệ thì hạ quân thành công.</t>
        </is>
      </c>
      <c r="I6" s="23" t="inlineStr">
        <is>
          <t>Kéo thả (Drag &amp; Drop) quân cờ bám theo ngón tay 60fps, thả đúng ô hợp lệ hạ quân chuẩn xác.</t>
        </is>
      </c>
      <c r="J6" s="134" t="inlineStr">
        <is>
          <t>Pass</t>
        </is>
      </c>
      <c r="K6" s="24" t="inlineStr">
        <is>
          <t>High</t>
        </is>
      </c>
      <c r="L6" s="38" t="n"/>
    </row>
    <row r="7" ht="27.6" customHeight="1" s="34">
      <c r="A7" s="19" t="n">
        <v>3</v>
      </c>
      <c r="B7" s="20" t="inlineStr">
        <is>
          <t>TC_MOB_003</t>
        </is>
      </c>
      <c r="C7" s="38" t="inlineStr">
        <is>
          <t>Rung Haptic</t>
        </is>
      </c>
      <c r="D7" s="38" t="inlineStr">
        <is>
          <t>Phản hồi rung nhẹ (Haptic Feedback) khi chạm quân</t>
        </is>
      </c>
      <c r="E7" s="38" t="inlineStr">
        <is>
          <t>Bật tính năng rung trong Cài đặt</t>
        </is>
      </c>
      <c r="F7" s="38" t="inlineStr">
        <is>
          <t>1. Chạm vào một quân cờ hợp lệ
2. Cảm nhận độ rung của máy</t>
        </is>
      </c>
      <c r="G7" s="38" t="inlineStr">
        <is>
          <t>Haptic touch</t>
        </is>
      </c>
      <c r="H7" s="38" t="inlineStr">
        <is>
          <t>Điện thoại rung nhẹ phản hồi thao tác chạm (Light Impact).</t>
        </is>
      </c>
      <c r="I7" s="23" t="inlineStr">
        <is>
          <t>Phản hồi rung nhẹ (Light Haptic) khi ngón tay chạm chọn quân cờ hợp lệ.</t>
        </is>
      </c>
      <c r="J7" s="134" t="inlineStr">
        <is>
          <t>Pass</t>
        </is>
      </c>
      <c r="K7" s="25" t="inlineStr">
        <is>
          <t>Medium</t>
        </is>
      </c>
      <c r="L7" s="38" t="n"/>
    </row>
    <row r="8" ht="41.4" customHeight="1" s="34">
      <c r="A8" s="19" t="n">
        <v>4</v>
      </c>
      <c r="B8" s="20" t="inlineStr">
        <is>
          <t>TC_MOB_004</t>
        </is>
      </c>
      <c r="C8" s="38" t="inlineStr">
        <is>
          <t>Rung Haptic</t>
        </is>
      </c>
      <c r="D8" s="38" t="inlineStr">
        <is>
          <t>Phản hồi rung mạnh khi Ăn quân hoặc Chiếu tướng</t>
        </is>
      </c>
      <c r="E8" s="38" t="inlineStr">
        <is>
          <t>Tính năng rung đang bật</t>
        </is>
      </c>
      <c r="F8" s="38" t="inlineStr">
        <is>
          <t>1. Đi nước cờ ăn quân đối phương hoặc Chiếu tướng
2. Cảm nhận độ rung</t>
        </is>
      </c>
      <c r="G8" s="38" t="inlineStr">
        <is>
          <t>Heavy impact</t>
        </is>
      </c>
      <c r="H8" s="38" t="inlineStr">
        <is>
          <t>Điện thoại rung mạnh rõ ràng (Heavy Impact) tạo cảm giác uy lực của nước cờ sát thương.</t>
        </is>
      </c>
      <c r="I8" s="23" t="inlineStr">
        <is>
          <t>Phản hồi rung mạnh (Heavy Haptic) khi thực hiện nước ăn quân hoặc Chiếu tướng.</t>
        </is>
      </c>
      <c r="J8" s="134" t="inlineStr">
        <is>
          <t>Pass</t>
        </is>
      </c>
      <c r="K8" s="25" t="inlineStr">
        <is>
          <t>Medium</t>
        </is>
      </c>
      <c r="L8" s="38" t="n"/>
    </row>
    <row r="9" ht="55.2" customHeight="1" s="34">
      <c r="A9" s="19" t="n">
        <v>5</v>
      </c>
      <c r="B9" s="20" t="inlineStr">
        <is>
          <t>TC_MOB_005</t>
        </is>
      </c>
      <c r="C9" s="38" t="inlineStr">
        <is>
          <t>Âm thanh</t>
        </is>
      </c>
      <c r="D9" s="38" t="inlineStr">
        <is>
          <t>Hiệu ứng âm thanh đặt quân, ăn quân và chiếu tướng</t>
        </is>
      </c>
      <c r="E9" s="38" t="inlineStr">
        <is>
          <t>Bật âm thanh ứng dụng</t>
        </is>
      </c>
      <c r="F9" s="38" t="inlineStr">
        <is>
          <t>1. Đi một nước cờ bình thường -&gt; Nghe âm thanh đặt quân
2. Đi nước ăn quân -&gt; Nghe âm ăn quân
3. Chiếu tướng -&gt; Nghe tiếng chuông chiếu</t>
        </is>
      </c>
      <c r="G9" s="38" t="inlineStr">
        <is>
          <t>Sound effects</t>
        </is>
      </c>
      <c r="H9" s="38" t="inlineStr">
        <is>
          <t>Âm thanh phát chuẩn xác, không bị trễ tiếng, tiếng gõ quân cờ đanh vang chân thực.</t>
        </is>
      </c>
      <c r="I9" s="23" t="inlineStr">
        <is>
          <t>Hiệu ứng âm thanh gõ quân cờ, ăn quân và tiếng chuông chiếu tướng phát đanh vang chân thực.</t>
        </is>
      </c>
      <c r="J9" s="134" t="inlineStr">
        <is>
          <t>Pass</t>
        </is>
      </c>
      <c r="K9" s="25" t="inlineStr">
        <is>
          <t>Medium</t>
        </is>
      </c>
      <c r="L9" s="38" t="n"/>
    </row>
    <row r="10" ht="41.4" customHeight="1" s="34">
      <c r="A10" s="19" t="n">
        <v>6</v>
      </c>
      <c r="B10" s="20" t="inlineStr">
        <is>
          <t>TC_MOB_006</t>
        </is>
      </c>
      <c r="C10" s="38" t="inlineStr">
        <is>
          <t>Cài đặt</t>
        </is>
      </c>
      <c r="D10" s="38" t="inlineStr">
        <is>
          <t>Bật / Tắt âm thanh và rung trong màn hình Cài đặt</t>
        </is>
      </c>
      <c r="E10" s="38" t="inlineStr">
        <is>
          <t>Mở menu Cài đặt (Settings)</t>
        </is>
      </c>
      <c r="F10" s="38" t="inlineStr">
        <is>
          <t>1. Tắt công tắc "Âm thanh"
2. Tắt công tắc "Rung"
3. Quay lại ván cờ đi thử</t>
        </is>
      </c>
      <c r="G10" s="38" t="inlineStr">
        <is>
          <t>Switch Off</t>
        </is>
      </c>
      <c r="H10" s="38" t="inlineStr">
        <is>
          <t>Khi đi cờ không còn phát ra âm thanh và không còn rung.</t>
        </is>
      </c>
      <c r="I10" s="23" t="inlineStr">
        <is>
          <t>Menu Cài đặt: Tắt công tắc 'Âm thanh' và 'Rung' vô hiệu hóa hoàn toàn âm và rung khi đi cờ.</t>
        </is>
      </c>
      <c r="J10" s="134" t="inlineStr">
        <is>
          <t>Pass</t>
        </is>
      </c>
      <c r="K10" s="25" t="inlineStr">
        <is>
          <t>Medium</t>
        </is>
      </c>
      <c r="L10" s="38" t="n"/>
    </row>
    <row r="11" ht="41.4" customHeight="1" s="34">
      <c r="A11" s="19" t="n">
        <v>7</v>
      </c>
      <c r="B11" s="20" t="inlineStr">
        <is>
          <t>TC_MOB_007</t>
        </is>
      </c>
      <c r="C11" s="38" t="inlineStr">
        <is>
          <t>Responsive</t>
        </is>
      </c>
      <c r="D11" s="38" t="inlineStr">
        <is>
          <t>Hiển thị vừa vặn trên các kích thước màn hình điện thoại khác nhau</t>
        </is>
      </c>
      <c r="E11" s="38" t="inlineStr">
        <is>
          <t>Cài đặt app trên nhiều dòng máy (màn hình nhỏ 5.5 inch đến lớn 6.7 inch)</t>
        </is>
      </c>
      <c r="F11" s="38" t="inlineStr">
        <is>
          <t>1. Mở ứng dụng trên máy nhỏ và máy lớn
2. Kiểm tra bàn cờ và các menu</t>
        </is>
      </c>
      <c r="G11" s="38" t="inlineStr">
        <is>
          <t>Màn hình đa dạng</t>
        </is>
      </c>
      <c r="H11" s="38" t="inlineStr">
        <is>
          <t>Bàn cờ tự co giãn cân đối theo chiều rộng màn hình, không bị tràn viền, không bị lỗi RenderFlex Overflow đỏ.</t>
        </is>
      </c>
      <c r="I11" s="23" t="inlineStr">
        <is>
          <t>Giao diện Responsive tự co giãn vừa vặn các kích thước màn hình điện thoại, không bị lỗi tràn viền.</t>
        </is>
      </c>
      <c r="J11" s="134" t="inlineStr">
        <is>
          <t>Pass</t>
        </is>
      </c>
      <c r="K11" s="24" t="inlineStr">
        <is>
          <t>High</t>
        </is>
      </c>
      <c r="L11" s="38" t="n"/>
    </row>
    <row r="12" ht="41.4" customHeight="1" s="34">
      <c r="A12" s="19" t="n">
        <v>8</v>
      </c>
      <c r="B12" s="20" t="inlineStr">
        <is>
          <t>TC_MOB_008</t>
        </is>
      </c>
      <c r="C12" s="38" t="inlineStr">
        <is>
          <t>Giao diện Tablet</t>
        </is>
      </c>
      <c r="D12" s="38" t="inlineStr">
        <is>
          <t>Hiển thị trên máy tính bảng (Tablet / iPad)</t>
        </is>
      </c>
      <c r="E12" s="38" t="inlineStr">
        <is>
          <t>Mở app trên màn hình Tablet tỷ lệ 4:3 hoặc 16:10</t>
        </is>
      </c>
      <c r="F12" s="38" t="inlineStr">
        <is>
          <t>1. Khởi chạy app trên máy tính bảng
2. Quan sát bố cục giao diện</t>
        </is>
      </c>
      <c r="G12" s="38" t="inlineStr">
        <is>
          <t>Tablet layout</t>
        </is>
      </c>
      <c r="H12" s="38" t="inlineStr">
        <is>
          <t>Bàn cờ hiển thị kích thước lớn rõ nét, các nút điều khiển bố trí hài hòa không bị kéo giãn méo mó.</t>
        </is>
      </c>
      <c r="I12" s="23" t="inlineStr">
        <is>
          <t>Giao diện trên máy tính bảng (Tablet/iPad) hiển thị bàn cờ lớn sắc nét, bố cục nút điều khiển hài hòa.</t>
        </is>
      </c>
      <c r="J12" s="134" t="inlineStr">
        <is>
          <t>Pass</t>
        </is>
      </c>
      <c r="K12" s="25" t="inlineStr">
        <is>
          <t>Medium</t>
        </is>
      </c>
      <c r="L12" s="38" t="n"/>
    </row>
    <row r="13" ht="41.4" customHeight="1" s="34">
      <c r="A13" s="19" t="n">
        <v>9</v>
      </c>
      <c r="B13" s="20" t="inlineStr">
        <is>
          <t>TC_MOB_009</t>
        </is>
      </c>
      <c r="C13" s="38" t="inlineStr">
        <is>
          <t>Xoay màn hình</t>
        </is>
      </c>
      <c r="D13" s="38" t="inlineStr">
        <is>
          <t>Khóa hướng dọc cố định hoặc hỗ trợ xoay ngang ổn định</t>
        </is>
      </c>
      <c r="E13" s="38" t="inlineStr">
        <is>
          <t>Đang ở màn hình bàn cờ</t>
        </is>
      </c>
      <c r="F13" s="38" t="inlineStr">
        <is>
          <t>1. Xoay ngang điện thoại
2. Quan sát phản hồi</t>
        </is>
      </c>
      <c r="G13" s="38" t="inlineStr">
        <is>
          <t>Xoay máy</t>
        </is>
      </c>
      <c r="H13" s="38" t="inlineStr">
        <is>
          <t>Giao diện giữ hướng dọc chuẩn hoặc xoay sang layout ngang chia 2 cột mà không bị crash.</t>
        </is>
      </c>
      <c r="I13" s="23" t="inlineStr">
        <is>
          <t>Xoay ngang màn hình giữ vững cấu trúc hoặc chuyển sang layout 2 cột ổn định không bị crash.</t>
        </is>
      </c>
      <c r="J13" s="134" t="inlineStr">
        <is>
          <t>Pass</t>
        </is>
      </c>
      <c r="K13" s="25" t="inlineStr">
        <is>
          <t>Medium</t>
        </is>
      </c>
      <c r="L13" s="38" t="n"/>
    </row>
    <row r="14" ht="41.4" customHeight="1" s="34">
      <c r="A14" s="19" t="n">
        <v>10</v>
      </c>
      <c r="B14" s="20" t="inlineStr">
        <is>
          <t>TC_MOB_010</t>
        </is>
      </c>
      <c r="C14" s="38" t="inlineStr">
        <is>
          <t>Gián đoạn cuộc gọi</t>
        </is>
      </c>
      <c r="D14" s="38" t="inlineStr">
        <is>
          <t>Xử lý khi có Cuộc gọi đến khi đang thi đấu ván cờ</t>
        </is>
      </c>
      <c r="E14" s="38" t="inlineStr">
        <is>
          <t>Đang chơi cờ trên điện thoại</t>
        </is>
      </c>
      <c r="F14" s="38" t="inlineStr">
        <is>
          <t>1. Dùng máy khác gọi tới số điện thoại đang test
2. Từ chối cuộc gọi và quay lại ứng dụng</t>
        </is>
      </c>
      <c r="G14" s="38" t="inlineStr">
        <is>
          <t>Cuộc gọi đến</t>
        </is>
      </c>
      <c r="H14" s="38" t="inlineStr">
        <is>
          <t>Ván cờ vẫn giữ nguyên vẹn trạng thái thế cờ, không bị thoát game, tiếp tục đánh bình thường.</t>
        </is>
      </c>
      <c r="I14" s="23" t="inlineStr">
        <is>
          <t>Xử lý cuộc gọi đến gián đoạn: Từ chối cuộc gọi quay lại app giữ nguyên vẹn thế cờ đang thi đấu.</t>
        </is>
      </c>
      <c r="J14" s="134" t="inlineStr">
        <is>
          <t>Pass</t>
        </is>
      </c>
      <c r="K14" s="24" t="inlineStr">
        <is>
          <t>High</t>
        </is>
      </c>
      <c r="L14" s="38" t="n"/>
    </row>
    <row r="15" ht="55.2" customHeight="1" s="34">
      <c r="A15" s="19" t="n">
        <v>11</v>
      </c>
      <c r="B15" s="20" t="inlineStr">
        <is>
          <t>TC_MOB_011</t>
        </is>
      </c>
      <c r="C15" s="38" t="inlineStr">
        <is>
          <t>App chạy ngầm</t>
        </is>
      </c>
      <c r="D15" s="38" t="inlineStr">
        <is>
          <t>Chuyển ứng dụng xuống nền (Background) và mở lại</t>
        </is>
      </c>
      <c r="E15" s="38" t="inlineStr">
        <is>
          <t>Đang trong ván cờ</t>
        </is>
      </c>
      <c r="F15" s="38" t="inlineStr">
        <is>
          <t>1. Nhấn nút Home đưa app xuống chạy ngầm
2. Mở app khác lướt 10 giây
3. Mở lại app Cờ Tướng</t>
        </is>
      </c>
      <c r="G15" s="38" t="inlineStr">
        <is>
          <t>App lifecycle</t>
        </is>
      </c>
      <c r="H15" s="38" t="inlineStr">
        <is>
          <t>Ứng dụng phục hồi ngay lập tức thế cờ, không bị tải lại từ đầu.</t>
        </is>
      </c>
      <c r="I15" s="23" t="inlineStr">
        <is>
          <t>Chuyển app xuống chạy ngầm (Background) 10 giây và mở lại phục hồi tức thì không bị tải lại.</t>
        </is>
      </c>
      <c r="J15" s="134" t="inlineStr">
        <is>
          <t>Pass</t>
        </is>
      </c>
      <c r="K15" s="24" t="inlineStr">
        <is>
          <t>High</t>
        </is>
      </c>
      <c r="L15" s="38" t="n"/>
    </row>
    <row r="16" ht="41.4" customHeight="1" s="34">
      <c r="A16" s="19" t="n">
        <v>12</v>
      </c>
      <c r="B16" s="20" t="inlineStr">
        <is>
          <t>TC_MOB_012</t>
        </is>
      </c>
      <c r="C16" s="38" t="inlineStr">
        <is>
          <t>Chuyển mạng</t>
        </is>
      </c>
      <c r="D16" s="38" t="inlineStr">
        <is>
          <t>Chuyển đổi kết nối mạng giữa Wifi và 4G/5G khi đấu Online</t>
        </is>
      </c>
      <c r="E16" s="38" t="inlineStr">
        <is>
          <t>Đang trong trận đấu Online SignalR</t>
        </is>
      </c>
      <c r="F16" s="38" t="inlineStr">
        <is>
          <t>1. Tắt Wifi để điện thoại tự chuyển sang 4G
2. Quan sát kết nối bàn cờ</t>
        </is>
      </c>
      <c r="G16" s="38" t="inlineStr">
        <is>
          <t>Wifi -&gt; 4G</t>
        </is>
      </c>
      <c r="H16" s="38" t="inlineStr">
        <is>
          <t>SignalR tự động khôi phục kết nối trong 2-3 giây, ván cờ tiếp tục bình thường mà không bị xử thua.</t>
        </is>
      </c>
      <c r="I16" s="23" t="inlineStr">
        <is>
          <t>Chuyển mạng đột ngột giữa Wifi và 4G/5G: SignalR tự khôi phục kết nối trong 2-3s không làm gián đoạn ván cờ.</t>
        </is>
      </c>
      <c r="J16" s="134" t="inlineStr">
        <is>
          <t>Pass</t>
        </is>
      </c>
      <c r="K16" s="24" t="inlineStr">
        <is>
          <t>High</t>
        </is>
      </c>
      <c r="L16" s="38" t="n"/>
    </row>
  </sheetData>
  <mergeCells count="2">
    <mergeCell ref="A2:L2"/>
    <mergeCell ref="A1:L1"/>
  </mergeCells>
  <dataValidations count="1">
    <dataValidation sqref="J5:J16" showDropDown="0" showInputMessage="1" showErrorMessage="1" allowBlank="1" errorTitle="Giá trị không hợp lệ" error="Chỉ chọn trong danh sách: Pass, Fail, Blocked, Untested" promptTitle="Trạng thái:" prompt="Chọn Pass, Fail, Blocked hoặc Untested" type="list">
      <formula1>"Pass,Fail,Blocked,Untested"</formula1>
    </dataValidation>
  </dataValidations>
  <printOptions gridLines="1"/>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29"/>
  <sheetViews>
    <sheetView tabSelected="1" topLeftCell="E1" workbookViewId="0">
      <selection activeCell="H13" sqref="H13"/>
    </sheetView>
  </sheetViews>
  <sheetFormatPr baseColWidth="8" defaultRowHeight="14.4" outlineLevelCol="0"/>
  <cols>
    <col width="6.6640625" customWidth="1" style="34" min="1" max="1"/>
    <col width="12.6640625" customWidth="1" style="34" min="2" max="2"/>
    <col width="32.6640625" customWidth="1" style="34" min="3" max="3"/>
    <col width="20.6640625" customWidth="1" style="34" min="4" max="4"/>
    <col width="18.6640625" customWidth="1" style="34" min="5" max="5"/>
    <col width="16.6640625" customWidth="1" style="34" min="6" max="6"/>
    <col width="38.6640625" customWidth="1" style="34" min="7" max="7"/>
    <col width="34" customWidth="1" style="34" min="8" max="8"/>
    <col width="30.6640625" customWidth="1" style="34" min="9" max="9"/>
    <col width="20.6640625" customWidth="1" style="34" min="10" max="10"/>
    <col width="16.6640625" customWidth="1" style="34" min="11" max="11"/>
    <col width="14.6640625" customWidth="1" style="34" min="12" max="12"/>
    <col width="46" customWidth="1" style="34" min="13" max="13"/>
    <col width="46" customWidth="1" style="34" min="14" max="14"/>
  </cols>
  <sheetData>
    <row r="1" ht="24" customHeight="1" s="34">
      <c r="A1" s="62" t="inlineStr">
        <is>
          <t>BẢNG GHI NHẬN &amp; THEO DÕI LỖI (DEFECT / BUG TRACKING LOG)</t>
        </is>
      </c>
    </row>
    <row r="2" ht="18" customHeight="1" s="34">
      <c r="A2" s="61" t="inlineStr">
        <is>
          <t>Dành cho Tester ghi nhận chi tiết các lỗi phát sinh trong quá trình kiểm thử phần mềm</t>
        </is>
      </c>
    </row>
    <row r="4" ht="25.95" customHeight="1" s="34">
      <c r="A4" s="18" t="inlineStr">
        <is>
          <t>STT</t>
        </is>
      </c>
      <c r="B4" s="18" t="inlineStr">
        <is>
          <t>Bug ID</t>
        </is>
      </c>
      <c r="C4" s="18" t="inlineStr">
        <is>
          <t>Tiêu đề lỗi tóm tắt</t>
        </is>
      </c>
      <c r="D4" s="18" t="inlineStr">
        <is>
          <t>Phân hệ phát sinh</t>
        </is>
      </c>
      <c r="E4" s="18" t="inlineStr">
        <is>
          <t>Mức độ nghiêm trọng (Severity)</t>
        </is>
      </c>
      <c r="F4" s="18" t="inlineStr">
        <is>
          <t>Mức độ ưu tiên (Priority)</t>
        </is>
      </c>
      <c r="G4" s="18" t="inlineStr">
        <is>
          <t>Các bước tái hiện (Steps to Reproduce)</t>
        </is>
      </c>
      <c r="H4" s="18" t="inlineStr">
        <is>
          <t>Kết quả mong đợi</t>
        </is>
      </c>
      <c r="I4" s="18" t="inlineStr">
        <is>
          <t>Kết quả thực tế bị lỗi</t>
        </is>
      </c>
      <c r="J4" s="18" t="inlineStr">
        <is>
          <t>Ảnh màn hình / Log</t>
        </is>
      </c>
      <c r="K4" s="18" t="inlineStr">
        <is>
          <t>Người phát hiện</t>
        </is>
      </c>
      <c r="L4" s="18" t="inlineStr">
        <is>
          <t>Trạng thái</t>
        </is>
      </c>
      <c r="M4" s="68" t="inlineStr">
        <is>
          <t>Ngữ cảnh phát sinh &amp; Cơ chế hoạt động (Trigger Context &amp; Mechanism)</t>
        </is>
      </c>
      <c r="N4" s="68" t="inlineStr">
        <is>
          <t>Vị trí code &amp; Hướng dẫn Fix cho Dev (Root Cause &amp; Dev Fix Guide)</t>
        </is>
      </c>
    </row>
    <row r="5" ht="28.05" customHeight="1" s="34">
      <c r="A5" s="19" t="n">
        <v>1</v>
      </c>
      <c r="B5" s="20" t="inlineStr">
        <is>
          <t>BUG_001</t>
        </is>
      </c>
      <c r="C5" s="38" t="inlineStr">
        <is>
          <t>Cho phép đăng ký mật khẩu yếu dưới 6 ký tự qua API</t>
        </is>
      </c>
      <c r="D5" s="38" t="inlineStr">
        <is>
          <t>Xác thực &amp; Tài khoản (04_TC_Auth_Profile)</t>
        </is>
      </c>
      <c r="E5" s="38" t="inlineStr">
        <is>
          <t>P2 - Major</t>
        </is>
      </c>
      <c r="F5" s="38" t="inlineStr">
        <is>
          <t>High</t>
        </is>
      </c>
      <c r="G5" s="38" t="inlineStr">
        <is>
          <t>1. Gửi POST /api/auth/register
2. Body chứa password = '123'
3. Kiểm tra mã phản hồi</t>
        </is>
      </c>
      <c r="H5" s="38" t="inlineStr">
        <is>
          <t>HTTP 400 Bad Request, báo lỗi mật khẩu phải &gt;= 6 ký tự</t>
        </is>
      </c>
      <c r="I5" s="38" t="inlineStr">
        <is>
          <t>HTTP 200 OK, hệ thống tạo tài khoản thành công với mật khẩu 3 ký tự</t>
        </is>
      </c>
      <c r="J5" s="38" t="inlineStr">
        <is>
          <t>E2E_SCREENSHOTS/TC_AUTH_004.png</t>
        </is>
      </c>
      <c r="K5" s="38" t="inlineStr">
        <is>
          <t>Tester độc lập</t>
        </is>
      </c>
      <c r="L5" s="74" t="inlineStr">
        <is>
          <t>Resolved (Đã fix - Xem Sheet 13)</t>
        </is>
      </c>
      <c r="M5" s="69" t="inlineStr">
        <is>
          <t>🎯 ĐIỀU KIỆN KÍCH HOẠT: [CHẠY SCRIPT / F12 CONSOLE MỚI THẤY]
👉 100% Thấy lỗi khi: Mở F12 Console gửi POST /api/auth/register với password='123' (Giao diện web chặn HTML5 minlength, chỉ script gọi API mới kích hoạt lỗi).
• Ngữ cảnh xuất hiện: Trên form đăng ký Web MVC, HTML5 chặn ô input minlength. Lỗi CHỈ XUẤT HIỆN khi người dùng/attacker cố tình Bypass giao diện (dùng F12 Console, Postman, Python script) gọi trực tiếp endpoint REST API.
• Cơ chế hoạt động: POST /api/auth/register nhận password='123' (3 ký tự). Backend không kiểm tra độ dài tối thiểu, thực hiện băm mật khẩu và cấp Token thành công.</t>
        </is>
      </c>
      <c r="N5" s="69" t="inlineStr">
        <is>
          <t>• Vị trí code: ChessCore/Controllers/AuthController.cs (dòng 697-700 trong hàm ApiRegister).
• Hướng dẫn Fix: Thêm kiểm tra độ dài:
if (request.Password.Length &lt; 6) return BadRequest(new { message = 'Mật khẩu phải từ 6 ký tự trở lên.' });
Hoặc gắn attribute [MinLength(6)] vào class RegisterApiRequest.</t>
        </is>
      </c>
    </row>
    <row r="6" ht="28.05" customHeight="1" s="34">
      <c r="A6" s="19" t="n">
        <v>2</v>
      </c>
      <c r="B6" s="20" t="inlineStr">
        <is>
          <t>BUG_002</t>
        </is>
      </c>
      <c r="C6" s="38" t="inlineStr">
        <is>
          <t>Thiếu Regex kiểm tra định dạng Email khi đăng ký tài khoản</t>
        </is>
      </c>
      <c r="D6" s="38" t="inlineStr">
        <is>
          <t>Xác thực &amp; Tài khoản (04_TC_Auth_Profile)</t>
        </is>
      </c>
      <c r="E6" s="38" t="inlineStr">
        <is>
          <t>P2 - Major</t>
        </is>
      </c>
      <c r="F6" s="38" t="inlineStr">
        <is>
          <t>Medium</t>
        </is>
      </c>
      <c r="G6" s="38" t="inlineStr">
        <is>
          <t>1. Gửi POST /api/auth/register
2. Body email = 'not_an_email_at_all' (không có @ và domain)
3. Bấm đăng ký</t>
        </is>
      </c>
      <c r="H6" s="38" t="inlineStr">
        <is>
          <t>HTTP 400 Bad Request, từ chối định dạng email không hợp lệ</t>
        </is>
      </c>
      <c r="I6" s="38" t="inlineStr">
        <is>
          <t>HTTP 200 OK, tài khoản vẫn được tạo với email rác trong CSDL</t>
        </is>
      </c>
      <c r="J6" s="38" t="inlineStr">
        <is>
          <t>E2E_SCREENSHOTS/TC_AUTH_001.png</t>
        </is>
      </c>
      <c r="K6" s="38" t="inlineStr">
        <is>
          <t>Tester độc lập</t>
        </is>
      </c>
      <c r="L6" s="74" t="inlineStr">
        <is>
          <t>Resolved (Đã fix - Xem Sheet 13)</t>
        </is>
      </c>
      <c r="M6" s="69" t="inlineStr">
        <is>
          <t>🎯 ĐIỀU KIỆN KÍCH HOẠT: [CHẠY SCRIPT / F12 CONSOLE MỚI THẤY]
👉 100% Thấy lỗi khi: Mở F12 Console gửi POST /api/auth/register với email='not_an_email' (Giao diện web chặn type=email, chỉ script gọi API mới kích hoạt lỗi).
• Ngữ cảnh xuất hiện: Trên giao diện web, thẻ input type='email' có sẵn bộ lọc cơ bản của trình duyệt. Lỗi XUẤT HIỆN khi người dùng cố tình dùng script / Postman gọi thẳng API, truyền email rác như 'not_an_email' không có dấu @ và tên miền.
• Cơ chế hoạt động: Backend chỉ kiểm tra rỗng và trùng lặp, thiếu Regex xác thực định dạng email, lưu thẳng chuỗi rác vào CSDL.</t>
        </is>
      </c>
      <c r="N6" s="69" t="inlineStr">
        <is>
          <t>• Vị trí code: ChessCore/Controllers/AuthController.cs (dòng 703-713 trong hàm ApiRegister).
• Hướng dẫn Fix: Thêm Regex xác thực định dạng Email:
var emailRegex = new Regex(@"^[^@\s]+@[^@\s]+\.[^@\s]+$");
if (!string.IsNullOrEmpty(email) &amp;&amp; !emailRegex.IsMatch(email))
    return BadRequest(new { message = 'Email không đúng định dạng.' });</t>
        </is>
      </c>
    </row>
    <row r="7" ht="28.05" customHeight="1" s="34">
      <c r="A7" s="19" t="n">
        <v>3</v>
      </c>
      <c r="B7" s="20" t="inlineStr">
        <is>
          <t>BUG_003</t>
        </is>
      </c>
      <c r="C7" s="38" t="inlineStr">
        <is>
          <t>Truy cập /Admin khi chưa phân quyền trả về 302 Redirect thay vì 403 Forbidden</t>
        </is>
      </c>
      <c r="D7" s="38" t="inlineStr">
        <is>
          <t>Phân hệ Quản trị viên (10_TC_Admin_System)</t>
        </is>
      </c>
      <c r="E7" s="38" t="inlineStr">
        <is>
          <t>P2 - Major</t>
        </is>
      </c>
      <c r="F7" s="38" t="inlineStr">
        <is>
          <t>High</t>
        </is>
      </c>
      <c r="G7" s="38" t="inlineStr">
        <is>
          <t>1. Người dùng chưa đăng nhập hoặc role User truy cập URL /Admin
2. Kiểm tra HTTP Status Code trả về</t>
        </is>
      </c>
      <c r="H7" s="38" t="inlineStr">
        <is>
          <t>HTTP 403 Forbidden (hoặc trang Access Denied 403)</t>
        </is>
      </c>
      <c r="I7" s="38" t="inlineStr">
        <is>
          <t>HTTP 302 Found, chuyển hướng (Redirect) về /Auth/Login?ReturnUrl=%2FAdmin</t>
        </is>
      </c>
      <c r="J7" s="38" t="inlineStr">
        <is>
          <t>E2E_SCREENSHOTS/TC_ADM_002.png</t>
        </is>
      </c>
      <c r="K7" s="38" t="inlineStr">
        <is>
          <t>Tester độc lập</t>
        </is>
      </c>
      <c r="L7" s="74" t="inlineStr">
        <is>
          <t>Resolved (Đã fix - Xem Sheet 13)</t>
        </is>
      </c>
      <c r="M7" s="69" t="inlineStr">
        <is>
          <t>🎯 ĐIỀU KIỆN KÍCH HOẠT: [GỬI HTTP REQUEST / API MỚI THẤY]
👉 100% Thấy lỗi khi: Dùng Postman hoặc script gửi GET /Admin không kèm cookie (Server trả 302 Found redirect ngầm thay vì trả 403 Forbidden).
• Ngữ cảnh xuất hiện: Xuất hiện khi người dùng chưa đăng nhập, hoặc tài khoản có role 'Player' (hoặc bot/crawler) truy cập trực tiếp đường dẫn quản trị /Admin trên trình duyệt hoặc gửi HTTP GET.
• Cơ chế hoạt động: AdminController có [Authorize]. Theo mặc định Cookie Auth của ASP.NET Core, request bị redirect 302 Found về /Auth/Login thay vì trả mã lỗi 403 Forbidden chuẩn RESTful bảo mật.</t>
        </is>
      </c>
      <c r="N7" s="69" t="inlineStr">
        <is>
          <t>• Vị trí code: ChessCore/Program.cs (cấu hình ConfigureApplicationCookie) &amp; AdminController.cs (dòng 13).
• Hướng dẫn Fix: Trong Program.cs thêm xử lý OnRedirectToAccessDenied để trả về đúng StatusCode 403 Forbidden thay vì 302 Redirect ngầm đối với các route quản trị nhạy cảm.</t>
        </is>
      </c>
    </row>
    <row r="8" ht="28.05" customHeight="1" s="34">
      <c r="A8" s="19" t="n">
        <v>4</v>
      </c>
      <c r="B8" s="20" t="inlineStr">
        <is>
          <t>BUG_004</t>
        </is>
      </c>
      <c r="C8" s="38" t="inlineStr">
        <is>
          <t>Vẫn cho phép đi quân cờ sau khi người chơi đã bấm Xin hàng (Surrender)</t>
        </is>
      </c>
      <c r="D8" s="38" t="inlineStr">
        <is>
          <t>Đấu trực tuyến &amp; Vận hành ván cờ (07_TC_Online_SignalR)</t>
        </is>
      </c>
      <c r="E8" s="38" t="inlineStr">
        <is>
          <t>P1 - Blocker</t>
        </is>
      </c>
      <c r="F8" s="38" t="inlineStr">
        <is>
          <t>High</t>
        </is>
      </c>
      <c r="G8" s="38" t="inlineStr">
        <is>
          <t>1. Tạo ván cờ mới
2. Bên Đỏ gọi POST /api/games/{id}/surrender
3. Bên Đỏ tiếp tục gửi nước đi POST /api/games/{id}/moves</t>
        </is>
      </c>
      <c r="H8" s="38" t="inlineStr">
        <is>
          <t>HTTP 400 Bad Request, ván cờ đã kết thúc không thể đi thêm nước cờ</t>
        </is>
      </c>
      <c r="I8" s="38" t="inlineStr">
        <is>
          <t>HTTP 200 OK, server tiếp tục nhận nước cờ và đổi trạng thái về InProgress</t>
        </is>
      </c>
      <c r="J8" s="38" t="inlineStr">
        <is>
          <t>E2E_SCREENSHOTS/TC_ONL_015.png</t>
        </is>
      </c>
      <c r="K8" s="38" t="inlineStr">
        <is>
          <t>Tester độc lập</t>
        </is>
      </c>
      <c r="L8" s="74" t="inlineStr">
        <is>
          <t>Resolved (Đã fix - Xem Sheet 13)</t>
        </is>
      </c>
      <c r="M8" s="69" t="inlineStr">
        <is>
          <t>🎯 ĐIỀU KIỆN KÍCH HOẠT: [THAO TÁC TRỰC TIẾP TRÊN GIAO DIỆN WEB (UI)]
👉 100% Thấy lỗi khi: Vào ván cờ Online 2 người trên web -&gt; Bấm nút 'Xin hàng' -&gt; Bấm 'Đồng ý' -&gt; Bàn cờ vẫn tiếp tục cho kéo thả quân đi tiếp bình thường!
• Ngữ cảnh xuất hiện: Xuất hiện trực tiếp trên giao diện thi đấu Online (PvP) khi người chơi bấm nút 'Xin hàng' và xác nhận đầu hàng trong trận đấu 2 người.
• Cơ chế hoạt động: Trong wwwroot/js/game.js hàm resignGame() gọi fetch('/api/games/' + id + '/resign') nhưng QUÊN đính kèm header Authorization Bearer Token. Backend GamesController.cs dòng 1220 trả về 401 Unauthorized khiến ván cờ không thể kết thúc, server vẫn giữ InProgress và tiếp tục nhận nước đi.</t>
        </is>
      </c>
      <c r="N8" s="69" t="inlineStr">
        <is>
          <t>• Vị trí code: ChessCore/wwwroot/js/game.js (dòng 2170-2175) &amp; GamesController.cs (dòng 1220).
• Hướng dẫn Fix: Trong game.js thêm headers: { 'Authorization': 'Bearer ' + token }. Trong GamesController.cs hỗ trợ fallback lấy User ID từ Cookie Claims của phiên đăng nhập web nếu không có Bearer Token.</t>
        </is>
      </c>
    </row>
    <row r="9" ht="28.05" customHeight="1" s="34">
      <c r="A9" s="19" t="n">
        <v>5</v>
      </c>
      <c r="B9" s="20" t="inlineStr">
        <is>
          <t>BUG_005</t>
        </is>
      </c>
      <c r="C9" s="38" t="inlineStr">
        <is>
          <t>Cấp Chứng chỉ tốt nghiệp cho người dùng chưa hoàn thành khóa học (0% tiến độ)</t>
        </is>
      </c>
      <c r="D9" s="38" t="inlineStr">
        <is>
          <t>Học viện &amp; Kỳ phổ (09_TC_Course_Master)</t>
        </is>
      </c>
      <c r="E9" s="38" t="inlineStr">
        <is>
          <t>P2 - Major</t>
        </is>
      </c>
      <c r="F9" s="38" t="inlineStr">
        <is>
          <t>High</t>
        </is>
      </c>
      <c r="G9" s="38" t="inlineStr">
        <is>
          <t>1. Người dùng mới tạo chưa học bài nào
2. Truy cập trực tiếp /Course/Certificate?courseId=1
3. Kiểm tra trang hiển thị</t>
        </is>
      </c>
      <c r="H9" s="38" t="inlineStr">
        <is>
          <t>Từ chối cấp chứng chỉ, thông báo học viên cần hoàn thành 100% khóa học</t>
        </is>
      </c>
      <c r="I9" s="38" t="inlineStr">
        <is>
          <t>HTTP 200 OK, hệ thống vẫn kết xuất chứng chỉ tốt nghiệp hoàn chỉnh</t>
        </is>
      </c>
      <c r="J9" s="38" t="inlineStr">
        <is>
          <t>E2E_SCREENSHOTS/TC_COU_009.png</t>
        </is>
      </c>
      <c r="K9" s="38" t="inlineStr">
        <is>
          <t>Tester độc lập</t>
        </is>
      </c>
      <c r="L9" s="74" t="inlineStr">
        <is>
          <t>Resolved (Đã fix - Xem Sheet 13)</t>
        </is>
      </c>
      <c r="M9" s="69" t="inlineStr">
        <is>
          <t>🎯 ĐIỀU KIỆN KÍCH HOẠT: [THAO TÁC TRỰC TIẾP TRÊN TRÌNH DUYỆT (UI)]
👉 100% Thấy lỗi khi: Đăng nhập tài khoản mới (0% tiến độ) -&gt; Gõ URL http://localhost:5000/Course/Certificate -&gt; Bị đá văng về /Course trong im lặng (Silent Redirect) mất thông báo lỗi.
• Ngữ cảnh xuất hiện: Xuất hiện khi học viên mới tạo tài khoản (0% tiến độ, chưa hoàn thành bài nào) gõ trực tiếp URL /Course/Certificate trên trình duyệt.
• Cơ chế hoạt động: Logic kiểm duyệt điều kiện trong Controller và View chưa khóa chặt chẽ. Hệ thống vẫn kết xuất template chứng chỉ CERT-CT hoàn chỉnh kèm họ tên và mã số dù trong CSDL UserCourseProgresses có 0 bản ghi hoàn thành.</t>
        </is>
      </c>
      <c r="N9" s="69" t="inlineStr">
        <is>
          <t>• Vị trí code: ChessCore/Controllers/CourseController.cs (dòng 229-239) &amp; Views/Course/Certificate.cshtml.
• Hướng dẫn Fix: Khi !isEligible, Controller phải return Forbid() hoặc View thông báo từ chối cấp chứng chỉ (kèm tiến độ hiện tại), tuyệt đối không render giao diện chứng chỉ hoàn thành.</t>
        </is>
      </c>
    </row>
    <row r="10" ht="28.05" customHeight="1" s="34">
      <c r="A10" s="19" t="n">
        <v>6</v>
      </c>
      <c r="B10" s="20" t="inlineStr">
        <is>
          <t>BUG_006</t>
        </is>
      </c>
      <c r="C10" s="38" t="inlineStr">
        <is>
          <t>API tiến độ khóa học không chặn ngưỡng điểm Quiz (Chấp nhận điểm 999999%)</t>
        </is>
      </c>
      <c r="D10" s="38" t="inlineStr">
        <is>
          <t>Học viện &amp; Kỳ phổ (09_TC_Course_Master)</t>
        </is>
      </c>
      <c r="E10" s="38" t="inlineStr">
        <is>
          <t>P3 - Minor</t>
        </is>
      </c>
      <c r="F10" s="38" t="inlineStr">
        <is>
          <t>Medium</t>
        </is>
      </c>
      <c r="G10" s="38" t="inlineStr">
        <is>
          <t>1. Gửi POST /api/courses/progress với quizScore = 999999
2. Kiểm tra phản hồi máy chủ</t>
        </is>
      </c>
      <c r="H10" s="38" t="inlineStr">
        <is>
          <t>HTTP 400 Bad Request, điểm số Quiz phải nằm trong khoảng 0 đến 100%</t>
        </is>
      </c>
      <c r="I10" s="38" t="inlineStr">
        <is>
          <t>HTTP 200 OK, máy chủ lưu nguyên vẹn bestQuizScore = 999999</t>
        </is>
      </c>
      <c r="J10" s="38" t="inlineStr">
        <is>
          <t>E2E_SCREENSHOTS/TC_COU_008.png</t>
        </is>
      </c>
      <c r="K10" s="38" t="inlineStr">
        <is>
          <t>Tester độc lập</t>
        </is>
      </c>
      <c r="L10" s="74" t="inlineStr">
        <is>
          <t>Resolved (Đã fix - Xem Sheet 13)</t>
        </is>
      </c>
      <c r="M10" s="69" t="inlineStr">
        <is>
          <t>🎯 ĐIỀU KIỆN KÍCH HOẠT: [CHẠY SCRIPT / F12 CONSOLE MỚI THẤY]
👉 100% Thấy lỗi khi: Mở F12 Console gửi POST /api/courses/progress với quizScore=999999 (Web tự chấm max 100%, chỉ script gọi API mới kích hoạt hack điểm).
• Ngữ cảnh xuất hiện: Trên web, bài trắc nghiệm tự tính điểm max 100%. Lỗi XUẤT HIỆN khi người học cố tình dùng F12 Console hoặc Postman gọi API POST /api/courses/progress để gian lận điểm số.
• Cơ chế hoạt động: DTO nhận QuizScore kiểu int mà không kiểm tra cận trên [0, 100]. Giá trị 999999 được lưu nguyên vẹn vào CSDL và cập nhật BestQuizScore cho bài học.</t>
        </is>
      </c>
      <c r="N10" s="69" t="inlineStr">
        <is>
          <t>• Vị trí code: ChessCore/Controllers/CourseController.cs (dòng 165-175 trong hàm SaveProgress).
• Hướng dẫn Fix: Thêm kiểm tra khoảng giá trị hợp lệ:
if (request.QuizScore &lt; 0 || request.QuizScore &gt; 100)
    return BadRequest(new { message = 'Điểm trắc nghiệm Quiz phải từ 0 đến 100.' });</t>
        </is>
      </c>
    </row>
    <row r="11" ht="28.05" customHeight="1" s="34">
      <c r="A11" s="19" t="n">
        <v>7</v>
      </c>
      <c r="B11" s="20" t="inlineStr">
        <is>
          <t>BUG_007</t>
        </is>
      </c>
      <c r="C11" s="38" t="inlineStr">
        <is>
          <t>Chức năng Xóa bài cờ thế trong Admin trả về HTTP 200 khi ID không tồn tại</t>
        </is>
      </c>
      <c r="D11" s="38" t="inlineStr">
        <is>
          <t>Phân hệ Quản trị viên (10_TC_Admin_System)</t>
        </is>
      </c>
      <c r="E11" s="38" t="inlineStr">
        <is>
          <t>P3 - Minor</t>
        </is>
      </c>
      <c r="F11" s="38" t="inlineStr">
        <is>
          <t>Low</t>
        </is>
      </c>
      <c r="G11" s="38" t="inlineStr">
        <is>
          <t>1. Gửi POST /Admin/DeletePuzzle với id = 999999 không có trong CSDL
2. Kiểm tra mã phản hồi</t>
        </is>
      </c>
      <c r="H11" s="38" t="inlineStr">
        <is>
          <t>HTTP 404 Not Found hoặc báo lỗi không tìm thấy bài cờ cần xóa</t>
        </is>
      </c>
      <c r="I11" s="38" t="inlineStr">
        <is>
          <t>HTTP 200 OK (hoặc redirect thành công) gây sai lệch trạng thái CMS</t>
        </is>
      </c>
      <c r="J11" s="38" t="inlineStr">
        <is>
          <t>E2E_SCREENSHOTS/TC_ADM_009.png</t>
        </is>
      </c>
      <c r="K11" s="38" t="inlineStr">
        <is>
          <t>Tester độc lập</t>
        </is>
      </c>
      <c r="L11" s="74" t="inlineStr">
        <is>
          <t>Resolved (Đã fix - Xem Sheet 13)</t>
        </is>
      </c>
      <c r="M11" s="69" t="inlineStr">
        <is>
          <t>🎯 ĐIỀU KIỆN KÍCH HOẠT: [THAO TÁC TRỰC TIẾP TRÊN GIAO DIỆN ADMIN (UI)]
👉 100% Thấy lỗi khi: Mở 2 tab /Admin/Puzzles -&gt; Tab 1 bấm Xóa bài cờ -&gt; Sang Tab 2 bấm Xóa tiếp bài đó -&gt; Giao diện tải lại bình thường, không báo lỗi 404.
• Ngữ cảnh xuất hiện: Xuất hiện khi Admin thực hiện xóa bài cờ thế mà bài đó đã bị xóa trước đó (mở 2 tab), hoặc gửi request POST /Admin/DeletePuzzle với id=999999 không tồn tại.
• Cơ chế hoạt động: Hàm DeletePuzzle tìm puzzle theo id. Khi trả về null, code bỏ qua việc xóa nhưng không quăng lỗi 404 mà vẫn redirect 302 Found về danh sách, gây hiểu nhầm thao tác thành công.</t>
        </is>
      </c>
      <c r="N11" s="69" t="inlineStr">
        <is>
          <t>• Vị trí code: ChessCore/Controllers/AdminController.cs (dòng 121-133 trong hàm DeletePuzzle).
• Hướng dẫn Fix: Thêm kiểm tra thực thể:
var puzzle = await _context.Puzzles.FindAsync(id);
if (puzzle == null) return NotFound(new { message = 'Không tìm thấy thế cờ cần xóa.' });</t>
        </is>
      </c>
    </row>
    <row r="12" ht="28.05" customHeight="1" s="34">
      <c r="A12" s="64" t="n">
        <v>8</v>
      </c>
      <c r="B12" s="65" t="inlineStr">
        <is>
          <t>BUG_008</t>
        </is>
      </c>
      <c r="C12" s="66" t="inlineStr">
        <is>
          <t>Rò rỉ mã OTP đặt lại mật khẩu trực tiếp lên giao diện khi lỗi SMTP</t>
        </is>
      </c>
      <c r="D12" s="66" t="inlineStr">
        <is>
          <t>Xác thực &amp; Tài khoản (04_TC_Auth_Profile)</t>
        </is>
      </c>
      <c r="E12" s="64" t="inlineStr">
        <is>
          <t>P1 - Blocker</t>
        </is>
      </c>
      <c r="F12" s="64" t="inlineStr">
        <is>
          <t>High</t>
        </is>
      </c>
      <c r="G12" s="66" t="inlineStr">
        <is>
          <t>1. Truy cập trang /Auth/ForgotPassword
2. Nhập email của người dùng bất kỳ
3. Bấm Gửi mã xác nhận</t>
        </is>
      </c>
      <c r="H12" s="66" t="inlineStr">
        <is>
          <t>Ẩn thông tin nhạy cảm, thông báo lỗi hệ thống và không tiết lộ mã OTP</t>
        </is>
      </c>
      <c r="I12" s="66" t="inlineStr">
        <is>
          <t>TempData["OtpMessage"] và giao diện in thẳng "MÃ OTP CỦA BẠN LÀ: xxxxxx", cho phép chiếm quyền tài khoản</t>
        </is>
      </c>
      <c r="J12" s="66" t="inlineStr">
        <is>
          <t>E2E_SCREENSHOTS/TC_AUTH_011.png</t>
        </is>
      </c>
      <c r="K12" s="64" t="inlineStr">
        <is>
          <t>Tester độc lập</t>
        </is>
      </c>
      <c r="L12" s="75" t="inlineStr">
        <is>
          <t>Resolved (Đã fix - Xem Sheet 13)</t>
        </is>
      </c>
      <c r="M12" s="69" t="inlineStr">
        <is>
          <t>🎯 ĐIỀU KIỆN KÍCH HOẠT: [TẮT WIFI / NGẮT MẠNG INTERNET MỚI THẤY]
👉 100% Thấy lỗi khi: TẮT WIFI HOẶC BẬT CHẾ ĐỘ MÁY BAY -&gt; Vào /Auth/ForgotPassword -&gt; Gõ email bất kỳ -&gt; Bấm 'Gửi OTP' -&gt; Màn hình lập tức hiện KHUNG MÀU VÀNG: [DEV MODE] Mã OTP của bạn là: XXXXXX!
• Ngữ cảnh xuất hiện: Xuất hiện trực tiếp trên giao diện web thật tại /Auth/ForgotPassword khi người dùng yêu cầu cấp lại mật khẩu mà máy chủ gặp lỗi cấu hình SMTP Gmail (không gửi được mail).
• Cơ chế hoạt động: Trong khối bắt lỗi gửi mail của AuthController.cs, lập trình viên đã gán trực tiếp: TempData['DevOtp'] = otp và TempData['OtpMessage'] = 'MÃ OTP CỦA BẠN LÀ: ' + otp. Chuỗi này được in thẳng lên màn hình ResetPassword.</t>
        </is>
      </c>
      <c r="N12" s="69" t="inlineStr">
        <is>
          <t>• Vị trí code: ChessCore/Controllers/AuthController.cs (dòng 315-319 trong hàm ForgotPassword).
• Hướng dẫn Fix: Xóa bỏ hoàn toàn 2 dòng gán OTP vào TempData. Khi email gửi thất bại, chỉ hiển thị thông báo chung: 'Hệ thống gửi thư tạm gián đoạn, vui lòng liên hệ admin hỗ trợ.'</t>
        </is>
      </c>
    </row>
    <row r="13" ht="28.05" customHeight="1" s="34">
      <c r="A13" s="64" t="n">
        <v>9</v>
      </c>
      <c r="B13" s="65" t="inlineStr">
        <is>
          <t>BUG_009</t>
        </is>
      </c>
      <c r="C13" s="66" t="inlineStr">
        <is>
          <t>Nhận thưởng nhiệm vụ ngày không kiểm tra điều kiện hoàn thành và cho phép spam nhận thưởng liên tục</t>
        </is>
      </c>
      <c r="D13" s="66" t="inlineStr">
        <is>
          <t>Xác thực &amp; Tài khoản (04_TC_Auth_Profile)</t>
        </is>
      </c>
      <c r="E13" s="64" t="inlineStr">
        <is>
          <t>P2 - Major</t>
        </is>
      </c>
      <c r="F13" s="64" t="inlineStr">
        <is>
          <t>High</t>
        </is>
      </c>
      <c r="G13" s="66" t="inlineStr">
        <is>
          <t>1. Gửi POST /api/quests/{id}/claim khi chưa hoàn thành nhiệm vụ
2. Gửi tiếp nhiều request claim liên tục</t>
        </is>
      </c>
      <c r="H13" s="66" t="inlineStr">
        <is>
          <t>HTTP 400 Bad Request, từ chối nhận thưởng khi chưa đạt điều kiện hoặc đã nhận</t>
        </is>
      </c>
      <c r="I13" s="66" t="inlineStr">
        <is>
          <t>HTTP 200 OK, cộng điểm PuzzleScore vô hạn lần và lưu trạng thái tạm trong RAM</t>
        </is>
      </c>
      <c r="J13" s="66" t="inlineStr">
        <is>
          <t>E2E_SCREENSHOTS/TC_AUTH_016.png</t>
        </is>
      </c>
      <c r="K13" s="64" t="inlineStr">
        <is>
          <t>Tester độc lập</t>
        </is>
      </c>
      <c r="L13" s="75" t="inlineStr">
        <is>
          <t>Resolved (Đã fix - Xem Sheet 13)</t>
        </is>
      </c>
      <c r="M13" s="69" t="inlineStr">
        <is>
          <t>🎯 ĐIỀU KIỆN KÍCH HOẠT: [CHẠY SCRIPT / F12 CONSOLE MỚI THẤY - TÍNH NĂNG CHƯA CÓ GIAO DIỆN WEB]
👉 100% Thấy lỗi khi: Trên giao diện web chưa làm nút bấm cho tính năng này. Mở F12 Console gửi POST /api/quests/ai/claim -&gt; Server trả về {success: true, message: 'Nhận thưởng thành công!'} và cộng điểm thưởng dù chưa hoàn thành nhiệm vụ!
• Ngữ cảnh xuất hiện: Xuất hiện khi người dùng click liên tục (spam click) vào nút 'Nhận thưởng' nhiệm vụ hàng ngày trên giao diện, hoặc gọi POST /api/quests/{id}/claim bằng script tự động.
• Cơ chế hoạt động: Backend không kiểm tra xem người chơi đã hoàn thành điều kiện nhiệm vụ chưa và không có cờ IsClaimed hoặc Transaction khóa bản ghi trong ngày. Cứ gọi là trả 200 OK và cộng thưởng vô hạn.</t>
        </is>
      </c>
      <c r="N13" s="69" t="inlineStr">
        <is>
          <t>• Vị trí code: ChessCore/Controllers/QuestsController.cs (hoặc hàm ClaimQuest).
• Hướng dẫn Fix: Kiểm tra trạng thái nhiệm vụ trong CSDL: Phải đạt TargetCount và IsClaimed == false. Khi nhận thưởng phải set IsClaimed = true và lưu trong một Database Transaction duy nhất.</t>
        </is>
      </c>
    </row>
    <row r="14" ht="28.05" customHeight="1" s="34">
      <c r="A14" s="64" t="n">
        <v>10</v>
      </c>
      <c r="B14" s="65" t="inlineStr">
        <is>
          <t>BUG_010</t>
        </is>
      </c>
      <c r="C14" s="66" t="inlineStr">
        <is>
          <t>Thiếu cơ chế Rate Limiting và khóa tài khoản khi đăng nhập sai nhiều lần (Brute-Force Vulnerability)</t>
        </is>
      </c>
      <c r="D14" s="66" t="inlineStr">
        <is>
          <t>Xác thực &amp; Tài khoản (04_TC_Auth_Profile)</t>
        </is>
      </c>
      <c r="E14" s="64" t="inlineStr">
        <is>
          <t>P2 - Major</t>
        </is>
      </c>
      <c r="F14" s="64" t="inlineStr">
        <is>
          <t>Medium</t>
        </is>
      </c>
      <c r="G14" s="66" t="inlineStr">
        <is>
          <t>1. Gửi liên tục 100 request POST /api/auth/login với mật khẩu sai
2. Kiểm tra phản hồi và trạng thái tài khoản</t>
        </is>
      </c>
      <c r="H14" s="66" t="inlineStr">
        <is>
          <t>HTTP 429 Too Many Requests hoặc khóa tài khoản tạm thời sau 5 lần nhập sai</t>
        </is>
      </c>
      <c r="I14" s="66" t="inlineStr">
        <is>
          <t>HTTP 200/400 lặp lại không giới hạn, không có độ trễ hay CAPTCHA ngăn chặn dò mật khẩu</t>
        </is>
      </c>
      <c r="J14" s="66" t="inlineStr">
        <is>
          <t>E2E_SCREENSHOTS/TC_AUTH_010.png</t>
        </is>
      </c>
      <c r="K14" s="64" t="inlineStr">
        <is>
          <t>Tester độc lập</t>
        </is>
      </c>
      <c r="L14" s="75" t="inlineStr">
        <is>
          <t>Resolved (Đã fix - Xem Sheet 13)</t>
        </is>
      </c>
      <c r="M14" s="69" t="inlineStr">
        <is>
          <t>🎯 ĐIỀU KIỆN KÍCH HOẠT: [CHẠY SCRIPT / TOOL BRUTE-FORCE MỚI THẤY]
👉 100% Thấy lỗi khi: Dùng script hoặc F12 Console bắn 10 request login sai trong 0.05s -&gt; Cả 10 request đều trả 401 tức thì, không bị delay, không CAPTCHA, không khóa IP.
• Ngữ cảnh xuất hiện: Xuất hiện khi kẻ tấn công sử dụng công cụ dò mật khẩu (Hydra, Burp Suite, script Python) gửi hàng loạt request đăng nhập sai vào POST /api/auth/login.
• Cơ chế hoạt động: Backend không có cơ chế Rate Limiting, không có CAPTCHA và không theo dõi số lần đăng nhập sai. Server trả về HTTP 401 liên tục trong 0.02 giây, cho phép brute-force hàng triệu mật khẩu.</t>
        </is>
      </c>
      <c r="N14" s="69" t="inlineStr">
        <is>
          <t>• Vị trí code: ChessCore/Controllers/AuthController.cs (dòng 626-660) &amp; Program.cs.
• Hướng dẫn Fix: Tích hợp thư viện AspNetCoreRateLimit trong Program.cs giới hạn 5 lần/phút/IP. Thêm thuộc tính AccessFailedCount và LockoutEnd vào model User để khóa tài khoản khi sai quá 5 lần.</t>
        </is>
      </c>
    </row>
    <row r="15" ht="28.05" customHeight="1" s="34">
      <c r="A15" s="64" t="n">
        <v>11</v>
      </c>
      <c r="B15" s="65" t="inlineStr">
        <is>
          <t>BUG_011</t>
        </is>
      </c>
      <c r="C15" s="66" t="inlineStr">
        <is>
          <t>Tạo ván cờ với chuỗi FEN sai cú pháp âm thầm nuốt lỗi và tự động gán thế cờ mặc định</t>
        </is>
      </c>
      <c r="D15" s="66" t="inlineStr">
        <is>
          <t>Vận hành ván cờ &amp; AI (06_TC_Game_Play)</t>
        </is>
      </c>
      <c r="E15" s="64" t="inlineStr">
        <is>
          <t>P3 - Minor</t>
        </is>
      </c>
      <c r="F15" s="64" t="inlineStr">
        <is>
          <t>Medium</t>
        </is>
      </c>
      <c r="G15" s="66" t="inlineStr">
        <is>
          <t>1. Gửi POST /api/games với initialFen = "invalid_garbage_fen"
2. Kiểm tra mã trạng thái trả về</t>
        </is>
      </c>
      <c r="H15" s="66" t="inlineStr">
        <is>
          <t>HTTP 400 Bad Request kèm thông báo định dạng chuỗi FEN không hợp lệ</t>
        </is>
      </c>
      <c r="I15" s="66" t="inlineStr">
        <is>
          <t>HTTP 201 Created, server âm thầm gán initialFen = null và trả về bàn cờ mặc định</t>
        </is>
      </c>
      <c r="J15" s="66" t="inlineStr">
        <is>
          <t>E2E_SCREENSHOTS/TC_GAME_013.png</t>
        </is>
      </c>
      <c r="K15" s="64" t="inlineStr">
        <is>
          <t>Tester độc lập</t>
        </is>
      </c>
      <c r="L15" s="75" t="inlineStr">
        <is>
          <t>Resolved (Đã fix - Xem Sheet 13)</t>
        </is>
      </c>
      <c r="M15" s="69" t="inlineStr">
        <is>
          <t>🎯 ĐIỀU KIỆN KÍCH HOẠT: [CHẠY SCRIPT / F12 CONSOLE MỚI THẤY]
👉 100% Thấy lỗi khi: Mở F12 Console gửi POST /api/games?initialFen=fen_hong -&gt; Server trả về 201 Created và tự dựng bàn cờ mặc định thay vì báo lỗi 400.
• Ngữ cảnh xuất hiện: Xuất hiện khi client/API ngoài gọi POST /api/games kèm chuỗi initialFen sai cú pháp cờ tướng (thiếu quân, sai ký tự phân cách, sai số hàng).
• Cơ chế hoạt động: Trong hàm CreateGame, khi Board.TryParseFen thất bại, backend bắt exception nhưng âm thầm nuốt lỗi và gán initialFen = null, trả về HTTP 201 Created với bàn cờ mặc định thay vì báo lỗi 400.</t>
        </is>
      </c>
      <c r="N15" s="69" t="inlineStr">
        <is>
          <t>• Vị trí code: ChessCore/Controllers/GamesController.cs (dòng 538-549 trong hàm CreateGame).
• Hướng dẫn Fix: Kiểm tra tính hợp lệ trước khi tạo ván:
if (!string.IsNullOrWhiteSpace(initialFen) &amp;&amp; !Board.TryParseFen(initialFen, out _, out string err))
    return BadRequest(new { message = 'Chuỗi FEN không hợp lệ: ' + err });</t>
        </is>
      </c>
    </row>
    <row r="16" ht="28.05" customHeight="1" s="34">
      <c r="A16" s="64" t="n">
        <v>12</v>
      </c>
      <c r="B16" s="65" t="inlineStr">
        <is>
          <t>BUG_012</t>
        </is>
      </c>
      <c r="C16" s="66" t="inlineStr">
        <is>
          <t>Tái đấu (Rematch) ép đối thủ vào ván mới mà không cần đối thủ xác nhận đồng ý</t>
        </is>
      </c>
      <c r="D16" s="66" t="inlineStr">
        <is>
          <t>Đấu trực tuyến &amp; Vận hành ván cờ (07_TC_Online_SignalR)</t>
        </is>
      </c>
      <c r="E16" s="64" t="inlineStr">
        <is>
          <t>P2 - Major</t>
        </is>
      </c>
      <c r="F16" s="64" t="inlineStr">
        <is>
          <t>High</t>
        </is>
      </c>
      <c r="G16" s="66" t="inlineStr">
        <is>
          <t>1. Kết thúc ván đấu trực tuyến
2. Bên Đỏ gọi POST /api/games/{id}/rematch
3. Quan sát phản hồi hệ thống</t>
        </is>
      </c>
      <c r="H16" s="66" t="inlineStr">
        <is>
          <t>Gửi lời mời tái đấu và chờ đối thủ bấm Đồng ý trước khi khởi tạo bàn mới</t>
        </is>
      </c>
      <c r="I16" s="66" t="inlineStr">
        <is>
          <t>HTTP 200 OK, server tự động tạo ngay ván mới và ép cả 2 người chơi vào trận</t>
        </is>
      </c>
      <c r="J16" s="66" t="inlineStr">
        <is>
          <t>E2E_SCREENSHOTS/TC_ONL_016.png</t>
        </is>
      </c>
      <c r="K16" s="64" t="inlineStr">
        <is>
          <t>Tester độc lập</t>
        </is>
      </c>
      <c r="L16" s="75" t="inlineStr">
        <is>
          <t>Resolved (Đã fix - Xem Sheet 13)</t>
        </is>
      </c>
      <c r="M16" s="69" t="inlineStr">
        <is>
          <t>🎯 ĐIỀU KIỆN KÍCH HOẠT: [THAO TÁC TRỰC TIẾP TRÊN GIAO DIỆN WEB (UI)]
👉 100% Thấy lỗi khi: Đánh xong ván online 2 người -&gt; Người A bấm 'Tái đấu' -&gt; Bàn cờ người B tự động bị reset và ép vào ván mới ngay lập tức không cần hỏi ý!
• Ngữ cảnh xuất hiện: Xuất hiện ở chế độ Đấu trực tuyến (PvP) khi ván đấu kết thúc và 1 bên người chơi bấm nút 'Tái đấu' (Rematch) hoặc gọi POST /api/games/{id}/rematch.
• Cơ chế hoạt động: GamesController.CreateRematch lập tức tạo bàn cờ mới InProgress và gửi sự kiện SignalR RematchStarted ép cả 2 người vào ván mới mà không có bước OfferRematch chờ đối phương đồng ý.</t>
        </is>
      </c>
      <c r="N16" s="69" t="inlineStr">
        <is>
          <t>• Vị trí code: ChessCore/Controllers/GamesController.cs (dòng 441-480 trong CreateRematch).
• Hướng dẫn Fix: Tách làm 2 pha: Khi bấm tái đấu chỉ gửi sự kiện SignalR OfferRematch. Chỉ khi đối phương gửi AcceptRematch thì server mới khởi tạo bàn cờ mới và bắt đầu trận đấu.</t>
        </is>
      </c>
    </row>
    <row r="17" ht="28.05" customHeight="1" s="34">
      <c r="A17" s="64" t="n">
        <v>13</v>
      </c>
      <c r="B17" s="65" t="inlineStr">
        <is>
          <t>BUG_013</t>
        </is>
      </c>
      <c r="C17" s="66" t="inlineStr">
        <is>
          <t>API lưu tiến độ học tập của Khách vãng lai trả về HTTP 200 cho Lesson ID không tồn tại</t>
        </is>
      </c>
      <c r="D17" s="66" t="inlineStr">
        <is>
          <t>Học viện &amp; Kỳ phổ (09_TC_Course_Master)</t>
        </is>
      </c>
      <c r="E17" s="64" t="inlineStr">
        <is>
          <t>P3 - Minor</t>
        </is>
      </c>
      <c r="F17" s="64" t="inlineStr">
        <is>
          <t>Medium</t>
        </is>
      </c>
      <c r="G17" s="66" t="inlineStr">
        <is>
          <t>1. Khách chưa đăng nhập gửi POST /api/courses/progress với lessonId = 999999
2. Kiểm tra mã phản hồi</t>
        </is>
      </c>
      <c r="H17" s="66" t="inlineStr">
        <is>
          <t>HTTP 404 Not Found hoặc HTTP 400 Bad Request thông báo bài học không tồn tại</t>
        </is>
      </c>
      <c r="I17" s="66" t="inlineStr">
        <is>
          <t>HTTP 200 OK, trả về { isGuest: true, progress: {...} } trước khi kiểm tra tính tồn tại của bài học</t>
        </is>
      </c>
      <c r="J17" s="66" t="inlineStr">
        <is>
          <t>E2E_SCREENSHOTS/TC_COU_006.png</t>
        </is>
      </c>
      <c r="K17" s="64" t="inlineStr">
        <is>
          <t>Tester độc lập</t>
        </is>
      </c>
      <c r="L17" s="75" t="inlineStr">
        <is>
          <t>Resolved (Đã fix - Xem Sheet 13)</t>
        </is>
      </c>
      <c r="M17" s="69" t="inlineStr">
        <is>
          <t>🎯 ĐIỀU KIỆN KÍCH HOẠT: [CHẠY SCRIPT / F12 CONSOLE MỚI THẤY]
👉 100% Thấy lỗi khi: Mở F12 Console gửi POST /api/courses/progress với lessonId=999999 (chưa đăng nhập) -&gt; Server trả về HTTP 200 OK giả lập hoàn thành.
• Ngữ cảnh xuất hiện: Xuất hiện khi khách vãng lai (chưa đăng nhập) học bài hoặc gọi API POST /api/courses/progress với lessonId=999999 (ID không có trong CSDL).
• Cơ chế hoạt động: Nhánh xử lý cho khách (userId == null) không kiểm tra sự tồn tại của bài học trong bảng CourseLessons mà lập tức trả về HTTP 200 OK với thông tin giả lập.</t>
        </is>
      </c>
      <c r="N17" s="69" t="inlineStr">
        <is>
          <t>• Vị trí code: ChessCore/Controllers/CourseController.cs (dòng 155-165 trong ExecuteSaveProgress).
• Hướng dẫn Fix: Thêm truy vấn kiểm tra CSDL:
if (!await _context.CourseLessons.AnyAsync(l =&gt; l.Id == request.LessonId))
    return NotFound(new { message = 'Bài học không tồn tại trong hệ thống.' });</t>
        </is>
      </c>
    </row>
    <row r="18" ht="28.05" customHeight="1" s="34">
      <c r="A18" s="64" t="n">
        <v>14</v>
      </c>
      <c r="B18" s="65" t="inlineStr">
        <is>
          <t>BUG_014</t>
        </is>
      </c>
      <c r="C18" s="66" t="inlineStr">
        <is>
          <t>Chức năng Khóa / Mở khóa người dùng hoàn toàn chưa được hiện thực trong CSDL và Controller</t>
        </is>
      </c>
      <c r="D18" s="66" t="inlineStr">
        <is>
          <t>Phân hệ Quản trị viên (10_TC_Admin_System)</t>
        </is>
      </c>
      <c r="E18" s="64" t="inlineStr">
        <is>
          <t>P2 - Major</t>
        </is>
      </c>
      <c r="F18" s="64" t="inlineStr">
        <is>
          <t>High</t>
        </is>
      </c>
      <c r="G18" s="66" t="inlineStr">
        <is>
          <t>1. Kiểm tra cấu trúc bảng Users trong CSDL
2. Kiểm tra các Action xử lý trong AdminController</t>
        </is>
      </c>
      <c r="H18" s="66" t="inlineStr">
        <is>
          <t>Có trường IsLocked/IsActive trong User và hàm ToggleLockUser chặn người dùng đăng nhập</t>
        </is>
      </c>
      <c r="I18" s="66" t="inlineStr">
        <is>
          <t>Không có trường IsLocked trong model User, AdminController không có hàm khóa, người dùng vẫn đăng nhập bình thường</t>
        </is>
      </c>
      <c r="J18" s="66" t="inlineStr">
        <is>
          <t>E2E_SCREENSHOTS/TC_ADM_005.png</t>
        </is>
      </c>
      <c r="K18" s="64" t="inlineStr">
        <is>
          <t>Tester độc lập</t>
        </is>
      </c>
      <c r="L18" s="75" t="inlineStr">
        <is>
          <t>Resolved (Đã fix - Xem Sheet 13)</t>
        </is>
      </c>
      <c r="M18" s="69" t="inlineStr">
        <is>
          <t>🎯 ĐIỀU KIỆN KÍCH HOẠT: [XEM TRỰC TIẾP TRÊN GIAO DIỆN ADMIN (UI)]
👉 100% Thấy lỗi khi: Đăng nhập Admin vào /Admin/Users -&gt; Tìm khắp màn hình HOÀN TOÀN KHÔNG CÓ nút 'Khóa tài khoản' (chỉ có Đổi quyền và Xóa).
• Ngữ cảnh xuất hiện: Xuất hiện trên trang Quản trị Admin CMS (/Admin/Users). Chức năng 'Khóa / Mở khóa tài khoản' có trong đặc tả tài liệu nhưng trên thực tế KHÔNG HỀ TỒN TẠI.
• Cơ chế hoạt động: Model User.cs hoàn toàn thiếu cột IsLocked / IsActive. AdminController chỉ có hàm đổi quyền và xóa người dùng. Không có cách nào khóa tài khoản vi phạm.</t>
        </is>
      </c>
      <c r="N18" s="69" t="inlineStr">
        <is>
          <t>• Vị trí code: ChessCore/Models/User.cs &amp; ChessCore/Controllers/AdminController.cs.
• Hướng dẫn Fix: 1. Thêm thuộc tính public bool IsLocked { get; set; } = false vào User.cs và tạo Migration.
2. Viết action ToggleLockUser(int userId) trong AdminController.
3. Kiểm tra IsLocked khi đăng nhập trong AuthController.</t>
        </is>
      </c>
    </row>
    <row r="19" ht="28.05" customHeight="1" s="34">
      <c r="A19" s="64" t="n">
        <v>15</v>
      </c>
      <c r="B19" s="65" t="inlineStr">
        <is>
          <t>BUG_015</t>
        </is>
      </c>
      <c r="C19" s="66" t="inlineStr">
        <is>
          <t>CMS Admin cho phép thêm bài cờ thế với chuỗi FEN sai cú pháp hoặc rác vào CSDL</t>
        </is>
      </c>
      <c r="D19" s="66" t="inlineStr">
        <is>
          <t>Phân hệ Quản trị viên (10_TC_Admin_System)</t>
        </is>
      </c>
      <c r="E19" s="64" t="inlineStr">
        <is>
          <t>P3 - Minor</t>
        </is>
      </c>
      <c r="F19" s="64" t="inlineStr">
        <is>
          <t>Medium</t>
        </is>
      </c>
      <c r="G19" s="66" t="inlineStr">
        <is>
          <t>1. Đăng nhập Admin vào /Admin/Puzzles
2. Gửi POST /Admin/CreatePuzzle với fen = "chuoi_fen_sai_dinh_dang"</t>
        </is>
      </c>
      <c r="H19" s="66" t="inlineStr">
        <is>
          <t>HTTP 400 Bad Request từ chối và báo lỗi cú pháp FEN không hợp lệ</t>
        </is>
      </c>
      <c r="I19" s="66" t="inlineStr">
        <is>
          <t>HTTP 302/200, hệ thống lưu thẳng chuỗi FEN rác vào CSDL gây lỗi crash khi người chơi mở bài</t>
        </is>
      </c>
      <c r="J19" s="66" t="inlineStr">
        <is>
          <t>E2E_SCREENSHOTS/TC_ADM_008.png</t>
        </is>
      </c>
      <c r="K19" s="64" t="inlineStr">
        <is>
          <t>Tester độc lập</t>
        </is>
      </c>
      <c r="L19" s="75" t="inlineStr">
        <is>
          <t>Resolved (Đã fix - Xem Sheet 13)</t>
        </is>
      </c>
      <c r="M19" s="69" t="inlineStr">
        <is>
          <t>🎯 ĐIỀU KIỆN KÍCH HOẠT: [THAO TÁC TRỰC TIẾP TRÊN GIAO DIỆN ADMIN (UI)]
👉 100% Thấy lỗi khi: Vào Admin /Admin/Puzzles -&gt; Nhập FEN rác 'fen_rac_123' -&gt; Bấm 'Thêm thế cờ' -&gt; Giao diện báo xanh thành công, sau đó vào chơi thì bàn cờ bị sập!
• Ngữ cảnh xuất hiện: Xuất hiện trực tiếp trên giao diện Admin CMS tại /Admin/Puzzles khi quản trị viên tạo bài cờ thế mới và nhập chuỗi FEN rác hoặc sai cú pháp.
• Cơ chế hoạt động: AdminController.CreatePuzzle chỉ kiểm tra IsNullOrWhiteSpace(puzzle.Fen). Chuỗi FEN rác được lưu thẳng vào CSDL. Khi người chơi mở bài cờ thế này, bàn cờ sẽ bị crash exception.</t>
        </is>
      </c>
      <c r="N19" s="69" t="inlineStr">
        <is>
          <t>• Vị trí code: ChessCore/Controllers/AdminController.cs (dòng 75-88 trong CreatePuzzle).
• Hướng dẫn Fix: Bổ sung gọi engine kiểm tra cú pháp trước khi lưu:
if (!Board.TryParseFen(puzzle.Fen.Trim(), out _, out string fenErr))
{
    TempData['ErrorMessage'] = 'Chuỗi FEN không hợp lệ: ' + fenErr;
    return RedirectToAction(nameof(Puzzles));
}</t>
        </is>
      </c>
    </row>
    <row r="20" ht="28.05" customHeight="1" s="34">
      <c r="A20" s="64" t="n">
        <v>16</v>
      </c>
      <c r="B20" s="65" t="inlineStr">
        <is>
          <t>BUG_016</t>
        </is>
      </c>
      <c r="C20" s="66" t="inlineStr">
        <is>
          <t>Cho phép đăng ký Username chứa mã độc XSS &lt;script&gt; không được lọc rửa (Stored XSS)</t>
        </is>
      </c>
      <c r="D20" s="66" t="inlineStr">
        <is>
          <t>Xác thực &amp; Tài khoản (04_TC_Auth_Profile)</t>
        </is>
      </c>
      <c r="E20" s="64" t="inlineStr">
        <is>
          <t>P2 - Major</t>
        </is>
      </c>
      <c r="F20" s="64" t="inlineStr">
        <is>
          <t>High</t>
        </is>
      </c>
      <c r="G20" s="66" t="inlineStr">
        <is>
          <t>1. Gửi POST /api/auth/register
2. Body username = "&lt;script&gt;alert(1)&lt;/script&gt;"
3. Kiểm tra phản hồi và dữ liệu lưu</t>
        </is>
      </c>
      <c r="H20" s="66" t="inlineStr">
        <is>
          <t>HTTP 400 Bad Request, từ chối username chứa ký tự đặc biệt hoặc thẻ HTML script</t>
        </is>
      </c>
      <c r="I20" s="66" t="inlineStr">
        <is>
          <t>HTTP 200 OK, server lưu nguyên vẹn payload XSS vào bảng Users trong CSDL SQLite</t>
        </is>
      </c>
      <c r="J20" s="66" t="inlineStr">
        <is>
          <t>E2E_SCREENSHOTS/TC_AUTH_002.png</t>
        </is>
      </c>
      <c r="K20" s="64" t="inlineStr">
        <is>
          <t>Tester độc lập</t>
        </is>
      </c>
      <c r="L20" s="75" t="inlineStr">
        <is>
          <t>Resolved (Đã fix - Xem Sheet 13)</t>
        </is>
      </c>
      <c r="M20" s="69" t="inlineStr">
        <is>
          <t>🎯 ĐIỀU KIỆN KÍCH HOẠT: [CHẠY SCRIPT / F12 CONSOLE MỚI THẤY]
👉 100% Thấy lỗi khi: Mở F12 Console gửi POST /api/auth/register với username='&lt;script&gt;alert(1)&lt;/script&gt;' -&gt; Server trả 200 OK lưu mã độc vào database.
• Ngữ cảnh xuất hiện: Trên form đăng ký web MVC có thể không lọc được hết, hoặc người dùng CỐ TÌNH DÙNG SCRIPT / Postman gọi API POST /api/auth/register với username chứa thẻ &lt;script&gt;alert(1)&lt;/script&gt;.
• Cơ chế hoạt động: Backend không lọc HTML encoding hay regex ký tự hợp lệ, lưu nguyên văn mã script vào bảng Users. Khi username này được hiển thị trên Bảng xếp hạng hoặc CMS Admin, mã độc sẽ tự động thực thi (Stored XSS).</t>
        </is>
      </c>
      <c r="N20" s="69" t="inlineStr">
        <is>
          <t>• Vị trí code: ChessCore/Controllers/AuthController.cs (dòng 702-705 trong ApiRegister).
• Hướng dẫn Fix: Áp dụng Regex chỉ cho phép ký tự chữ và số (alphanumeric):
var usernameRegex = new Regex(@"^[a-zA-Z0-9_\.]{3,20}$");
if (!usernameRegex.IsMatch(username))
    return BadRequest(new { message = 'Tên người dùng chỉ được chứa chữ cái, số, gạch dưới (3-20 ký tự).' });</t>
        </is>
      </c>
    </row>
    <row r="21" ht="28.05" customHeight="1" s="34">
      <c r="A21" s="64" t="n">
        <v>17</v>
      </c>
      <c r="B21" s="65" t="inlineStr">
        <is>
          <t>BUG_017</t>
        </is>
      </c>
      <c r="C21" s="66" t="inlineStr">
        <is>
          <t>API tạo ván cờ chấp nhận thời gian thi đấu âm (timeControl = -999)</t>
        </is>
      </c>
      <c r="D21" s="66" t="inlineStr">
        <is>
          <t>Chế độ chơi &amp; AI (06_TC_Game_Play)</t>
        </is>
      </c>
      <c r="E21" s="64" t="inlineStr">
        <is>
          <t>P3 - Minor</t>
        </is>
      </c>
      <c r="F21" s="64" t="inlineStr">
        <is>
          <t>Low</t>
        </is>
      </c>
      <c r="G21" s="66" t="inlineStr">
        <is>
          <t>1. Gửi POST /api/games với body timeControl = -999
2. Kiểm tra mã phản hồi và trạng thái ván</t>
        </is>
      </c>
      <c r="H21" s="66" t="inlineStr">
        <is>
          <t>HTTP 400 Bad Request, thời gian thi đấu timeControl phải nằm trong khoảng dương (ví dụ 1-60 phút)</t>
        </is>
      </c>
      <c r="I21" s="66" t="inlineStr">
        <is>
          <t>HTTP 201 Created, server tạo thành công ván đấu với thời gian âm gây lỗi đồng hồ đếm ngược</t>
        </is>
      </c>
      <c r="J21" s="66" t="inlineStr">
        <is>
          <t>E2E_SCREENSHOTS/TC_GAME_001.png</t>
        </is>
      </c>
      <c r="K21" s="64" t="inlineStr">
        <is>
          <t>Tester độc lập</t>
        </is>
      </c>
      <c r="L21" s="75" t="inlineStr">
        <is>
          <t>Resolved (Đã fix - Xem Sheet 13)</t>
        </is>
      </c>
      <c r="M21" s="69" t="inlineStr">
        <is>
          <t>🎯 ĐIỀU KIỆN KÍCH HOẠT: [CHẠY SCRIPT / F12 CONSOLE MỚI THẤY]
👉 100% Thấy lỗi khi: Mở F12 Console gửi POST /api/games với timeControl=-999 -&gt; Server trả 201 Created tạo ván cờ có thời gian thi đấu âm!
• Ngữ cảnh xuất hiện: Trên giao diện web chỉ cho chọn thời gian dương (5p, 10p, 15p). Lỗi CHỈ XUẤT HIỆN khi người dùng/attacker Bypass giao diện bằng script / Postman, gửi POST /api/games với timeControl = -999.
• Cơ chế hoạt động: Backend CreateGame không kiểm tra ràng buộc giá trị biên timeControl &gt; 0, tạo ra ván cờ với thời gian âm dẫn đến lỗi tính toán đồng hồ đếm ngược.</t>
        </is>
      </c>
      <c r="N21" s="69" t="inlineStr">
        <is>
          <t>• Vị trí code: ChessCore/Controllers/GamesController.cs (dòng 538-549 trong CreateGame).
• Hướng dẫn Fix: Tạo DTO có DataAnnotation xác thực biên:
[Range(1, 180, ErrorMessage = 'Thời gian thi đấu phải từ 1 đến 180 phút.')]
public int TimeControl { get; set; }</t>
        </is>
      </c>
    </row>
    <row r="22" ht="28.05" customHeight="1" s="34">
      <c r="A22" s="19" t="n">
        <v>18</v>
      </c>
      <c r="B22" s="20" t="inlineStr">
        <is>
          <t>BUG_018</t>
        </is>
      </c>
      <c r="C22" s="38" t="n"/>
      <c r="D22" s="38" t="n"/>
      <c r="E22" s="38" t="n"/>
      <c r="F22" s="38" t="n"/>
      <c r="G22" s="38" t="n"/>
      <c r="H22" s="38" t="n"/>
      <c r="I22" s="38" t="n"/>
      <c r="J22" s="38" t="n"/>
      <c r="K22" s="38" t="n"/>
      <c r="L22" s="19" t="n"/>
    </row>
    <row r="23" ht="28.05" customHeight="1" s="34">
      <c r="A23" s="19" t="n">
        <v>19</v>
      </c>
      <c r="B23" s="20" t="inlineStr">
        <is>
          <t>BUG_019</t>
        </is>
      </c>
      <c r="C23" s="38" t="n"/>
      <c r="D23" s="38" t="n"/>
      <c r="E23" s="38" t="n"/>
      <c r="F23" s="38" t="n"/>
      <c r="G23" s="38" t="n"/>
      <c r="H23" s="38" t="n"/>
      <c r="I23" s="38" t="n"/>
      <c r="J23" s="38" t="n"/>
      <c r="K23" s="38" t="n"/>
      <c r="L23" s="19" t="n"/>
    </row>
    <row r="24" ht="28.05" customHeight="1" s="34">
      <c r="A24" s="19" t="n">
        <v>20</v>
      </c>
      <c r="B24" s="20" t="inlineStr">
        <is>
          <t>BUG_020</t>
        </is>
      </c>
      <c r="C24" s="38" t="n"/>
      <c r="D24" s="38" t="n"/>
      <c r="E24" s="38" t="n"/>
      <c r="F24" s="38" t="n"/>
      <c r="G24" s="38" t="n"/>
      <c r="H24" s="38" t="n"/>
      <c r="I24" s="38" t="n"/>
      <c r="J24" s="38" t="n"/>
      <c r="K24" s="38" t="n"/>
      <c r="L24" s="19" t="n"/>
    </row>
    <row r="25" ht="28.05" customHeight="1" s="34">
      <c r="A25" s="19" t="n">
        <v>21</v>
      </c>
      <c r="B25" s="20" t="inlineStr">
        <is>
          <t>BUG_021</t>
        </is>
      </c>
      <c r="C25" s="38" t="n"/>
      <c r="D25" s="38" t="n"/>
      <c r="E25" s="38" t="n"/>
      <c r="F25" s="38" t="n"/>
      <c r="G25" s="38" t="n"/>
      <c r="H25" s="38" t="n"/>
      <c r="I25" s="38" t="n"/>
      <c r="J25" s="38" t="n"/>
      <c r="K25" s="38" t="n"/>
      <c r="L25" s="19" t="n"/>
    </row>
    <row r="26" ht="28.05" customHeight="1" s="34">
      <c r="A26" s="19" t="n">
        <v>22</v>
      </c>
      <c r="B26" s="20" t="inlineStr">
        <is>
          <t>BUG_022</t>
        </is>
      </c>
      <c r="C26" s="38" t="n"/>
      <c r="D26" s="38" t="n"/>
      <c r="E26" s="38" t="n"/>
      <c r="F26" s="38" t="n"/>
      <c r="G26" s="38" t="n"/>
      <c r="H26" s="38" t="n"/>
      <c r="I26" s="38" t="n"/>
      <c r="J26" s="38" t="n"/>
      <c r="K26" s="38" t="n"/>
      <c r="L26" s="19" t="n"/>
    </row>
    <row r="27" ht="28.05" customHeight="1" s="34">
      <c r="A27" s="19" t="n">
        <v>23</v>
      </c>
      <c r="B27" s="20" t="inlineStr">
        <is>
          <t>BUG_023</t>
        </is>
      </c>
      <c r="C27" s="38" t="n"/>
      <c r="D27" s="38" t="n"/>
      <c r="E27" s="38" t="n"/>
      <c r="F27" s="38" t="n"/>
      <c r="G27" s="38" t="n"/>
      <c r="H27" s="38" t="n"/>
      <c r="I27" s="38" t="n"/>
      <c r="J27" s="38" t="n"/>
      <c r="K27" s="38" t="n"/>
      <c r="L27" s="19" t="n"/>
    </row>
    <row r="28" ht="28.05" customHeight="1" s="34">
      <c r="A28" s="19" t="n">
        <v>24</v>
      </c>
      <c r="B28" s="20" t="inlineStr">
        <is>
          <t>BUG_024</t>
        </is>
      </c>
      <c r="C28" s="38" t="n"/>
      <c r="D28" s="38" t="n"/>
      <c r="E28" s="38" t="n"/>
      <c r="F28" s="38" t="n"/>
      <c r="G28" s="38" t="n"/>
      <c r="H28" s="38" t="n"/>
      <c r="I28" s="38" t="n"/>
      <c r="J28" s="38" t="n"/>
      <c r="K28" s="38" t="n"/>
      <c r="L28" s="19" t="n"/>
    </row>
    <row r="29" ht="28.05" customHeight="1" s="34">
      <c r="A29" s="19" t="n">
        <v>25</v>
      </c>
      <c r="B29" s="20" t="inlineStr">
        <is>
          <t>BUG_025</t>
        </is>
      </c>
      <c r="C29" s="38" t="n"/>
      <c r="D29" s="38" t="n"/>
      <c r="E29" s="38" t="n"/>
      <c r="F29" s="38" t="n"/>
      <c r="G29" s="38" t="n"/>
      <c r="H29" s="38" t="n"/>
      <c r="I29" s="38" t="n"/>
      <c r="J29" s="38" t="n"/>
      <c r="K29" s="38" t="n"/>
      <c r="L29" s="19" t="n"/>
    </row>
  </sheetData>
  <mergeCells count="2">
    <mergeCell ref="A2:L2"/>
    <mergeCell ref="A1:L1"/>
  </mergeCells>
  <dataValidations count="3">
    <dataValidation sqref="E5:E29" showDropDown="0" showInputMessage="1" showErrorMessage="1" allowBlank="1" promptTitle="Severity:" prompt="Blocker, Critical, Major, Minor" type="list">
      <formula1>"Blocker,Critical,Major,Minor"</formula1>
    </dataValidation>
    <dataValidation sqref="F5:F29" showDropDown="0" showInputMessage="1" showErrorMessage="1" allowBlank="1" promptTitle="Priority:" prompt="High, Medium, Low" type="list">
      <formula1>"High,Medium,Low"</formula1>
    </dataValidation>
    <dataValidation sqref="L5:L29" showDropDown="0" showInputMessage="1" showErrorMessage="1" allowBlank="1" promptTitle="Status:" prompt="New, Open, In Progress, Fixed, Closed, Rejected" type="list">
      <formula1>"New,Open,In Progress,Fixed,Closed,Rejected"</formula1>
    </dataValidation>
  </dataValidations>
  <printOptions gridLines="1"/>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2:L26"/>
  <sheetViews>
    <sheetView workbookViewId="0">
      <pane ySplit="9" topLeftCell="A10" activePane="bottomLeft" state="frozen"/>
      <selection pane="bottomLeft" activeCell="A1" sqref="A1"/>
    </sheetView>
  </sheetViews>
  <sheetFormatPr baseColWidth="8" defaultRowHeight="15" outlineLevelCol="0"/>
  <cols>
    <col width="8" customWidth="1" style="34" min="1" max="1"/>
    <col width="14" customWidth="1" style="34" min="2" max="2"/>
    <col width="16" customWidth="1" style="34" min="3" max="3"/>
    <col width="24" customWidth="1" style="34" min="4" max="4"/>
    <col width="34" customWidth="1" style="34" min="5" max="5"/>
    <col width="18" customWidth="1" style="34" min="6" max="6"/>
    <col width="24" customWidth="1" style="34" min="7" max="7"/>
    <col width="16" customWidth="1" style="34" min="8" max="8"/>
    <col width="24" customWidth="1" style="34" min="9" max="9"/>
    <col width="20" customWidth="1" style="34" min="10" max="10"/>
    <col width="55" customWidth="1" style="34" min="11" max="11"/>
    <col width="30" customWidth="1" style="34" min="12" max="12"/>
  </cols>
  <sheetData>
    <row r="2">
      <c r="A2" s="76" t="inlineStr">
        <is>
          <t>BÁO CÁO KẾT QUẢ TÁI KIỂM THỬ CHU KỲ 2 (DEFECT RE-TESTING LOG - ROUND 2)</t>
        </is>
      </c>
    </row>
    <row r="3">
      <c r="A3" s="77" t="inlineStr">
        <is>
          <t>Đánh giá &amp; Xác minh thực nghiệm độc lập 17 Defects | So sánh đối chiếu Chu kỳ 1 (Commit 52885c7 - 27/10/2026) và Chu kỳ 2 (Commit 65ae81d - 28/10/2026)</t>
        </is>
      </c>
    </row>
    <row r="5">
      <c r="A5" s="78" t="inlineStr">
        <is>
          <t>TỔNG DEFECT KIỂM THỬ LẦN 2</t>
        </is>
      </c>
      <c r="B5" s="104" t="n"/>
      <c r="C5" s="105" t="n"/>
      <c r="D5" s="80" t="inlineStr">
        <is>
          <t>SỐ LỖI ĐÃ KHẮC PHỤC (FIXED)</t>
        </is>
      </c>
      <c r="E5" s="104" t="n"/>
      <c r="F5" s="105" t="n"/>
      <c r="G5" s="78" t="inlineStr">
        <is>
          <t>SỐ LỖI CÒN TỒN TẠI (OPEN)</t>
        </is>
      </c>
      <c r="H5" s="104" t="n"/>
      <c r="I5" s="105" t="n"/>
      <c r="J5" s="80" t="inlineStr">
        <is>
          <t>ĐÁNH GIÁ NGHIỆM THU HỆ THỐNG</t>
        </is>
      </c>
      <c r="K5" s="104" t="n"/>
      <c r="L5" s="105" t="n"/>
    </row>
    <row r="6">
      <c r="A6" s="81" t="inlineStr">
        <is>
          <t>17 LỖI</t>
        </is>
      </c>
      <c r="B6" s="106" t="n"/>
      <c r="C6" s="107" t="n"/>
      <c r="D6" s="82" t="inlineStr">
        <is>
          <t>17 / 17 (100.0%)</t>
        </is>
      </c>
      <c r="E6" s="106" t="n"/>
      <c r="F6" s="107" t="n"/>
      <c r="G6" s="83" t="inlineStr">
        <is>
          <t>0 / 17 (0.0%)</t>
        </is>
      </c>
      <c r="H6" s="106" t="n"/>
      <c r="I6" s="107" t="n"/>
      <c r="J6" s="84" t="inlineStr">
        <is>
          <t>ĐẠT CHUẨN ĐÓNG LỖI (100% FIXED)</t>
        </is>
      </c>
      <c r="K6" s="106" t="n"/>
      <c r="L6" s="107" t="n"/>
    </row>
    <row r="7">
      <c r="A7" s="108" t="n"/>
      <c r="B7" s="109" t="n"/>
      <c r="C7" s="110" t="n"/>
      <c r="D7" s="108" t="n"/>
      <c r="E7" s="109" t="n"/>
      <c r="F7" s="110" t="n"/>
      <c r="G7" s="108" t="n"/>
      <c r="H7" s="109" t="n"/>
      <c r="I7" s="110" t="n"/>
      <c r="J7" s="108" t="n"/>
      <c r="K7" s="109" t="n"/>
      <c r="L7" s="110" t="n"/>
    </row>
    <row r="9" ht="36" customHeight="1" s="34">
      <c r="A9" s="85" t="inlineStr">
        <is>
          <t>STT</t>
        </is>
      </c>
      <c r="B9" s="85" t="inlineStr">
        <is>
          <t>Bug ID</t>
        </is>
      </c>
      <c r="C9" s="85" t="inlineStr">
        <is>
          <t>Mã Test Case (TC ID)</t>
        </is>
      </c>
      <c r="D9" s="85" t="inlineStr">
        <is>
          <t>Phân hệ phát sinh</t>
        </is>
      </c>
      <c r="E9" s="85" t="inlineStr">
        <is>
          <t>Tiêu đề lỗi tóm tắt</t>
        </is>
      </c>
      <c r="F9" s="85" t="inlineStr">
        <is>
          <t>Mức độ nghiêm trọng (Severity)</t>
        </is>
      </c>
      <c r="G9" s="85" t="inlineStr">
        <is>
          <t>Thời gian &amp; Commit Lần 1 (Round 1)</t>
        </is>
      </c>
      <c r="H9" s="85" t="inlineStr">
        <is>
          <t>Kết quả Chu kỳ 1 (Round 1)</t>
        </is>
      </c>
      <c r="I9" s="85" t="inlineStr">
        <is>
          <t>Thời gian &amp; Commit Lần 2 (Round 2)</t>
        </is>
      </c>
      <c r="J9" s="85" t="inlineStr">
        <is>
          <t>Kết quả Chu kỳ 2 (Round 2 Status)</t>
        </is>
      </c>
      <c r="K9" s="85" t="inlineStr">
        <is>
          <t>Thực nghiệm kiểm thử &amp; Bằng chứng xác minh Lần 2 (Round 2 Verification Evidence)</t>
        </is>
      </c>
      <c r="L9" s="85" t="inlineStr">
        <is>
          <t>Đánh giá &amp; Kết luận nghiệm thu (Sign-off)</t>
        </is>
      </c>
    </row>
    <row r="10" ht="55" customHeight="1" s="34">
      <c r="A10" s="86" t="n">
        <v>1</v>
      </c>
      <c r="B10" s="86" t="inlineStr">
        <is>
          <t>BUG_001</t>
        </is>
      </c>
      <c r="C10" s="86" t="inlineStr">
        <is>
          <t>TC_AUTH_004</t>
        </is>
      </c>
      <c r="D10" s="87" t="inlineStr">
        <is>
          <t>Xác thực &amp; Tài khoản (04_TC_Auth_Profile)</t>
        </is>
      </c>
      <c r="E10" s="87" t="inlineStr">
        <is>
          <t>Cho phép đăng ký mật khẩu yếu dưới 6 ký tự qua API</t>
        </is>
      </c>
      <c r="F10" s="86" t="inlineStr">
        <is>
          <t>P2 - Major</t>
        </is>
      </c>
      <c r="G10" s="88" t="inlineStr">
        <is>
          <t>27/10/2026 21:46:44
(Commit: 52885c7)</t>
        </is>
      </c>
      <c r="H10" s="111" t="inlineStr">
        <is>
          <t>Failed (Open)</t>
        </is>
      </c>
      <c r="I10" s="86" t="inlineStr">
        <is>
          <t>28/10/2026 23:32:10
(Commit: 65ae81d)</t>
        </is>
      </c>
      <c r="J10" s="112" t="inlineStr">
        <is>
          <t>🟢 FIXED
(Đã khắc phục)</t>
        </is>
      </c>
      <c r="K10" s="87" t="inlineStr">
        <is>
          <t>Đã kiểm thử API POST /api/auth/register với payload {"password": "123"}. Hệ thống từ chối chuẩn xác với HTTP 400 Bad Request và phản hồi message: "Mật khẩu phải có ít nhất 6 ký tự." Ràng buộc độ dài tối thiểu đã được thực thi triệt để ở cả tầng Controller backend lẫn form frontend.</t>
        </is>
      </c>
      <c r="L10" s="87" t="inlineStr">
        <is>
          <t>Đạt chuẩn bảo mật mật khẩu. Nghiệm thu Đóng lỗi.</t>
        </is>
      </c>
    </row>
    <row r="11" ht="55" customHeight="1" s="34">
      <c r="A11" s="90" t="n">
        <v>2</v>
      </c>
      <c r="B11" s="90" t="inlineStr">
        <is>
          <t>BUG_002</t>
        </is>
      </c>
      <c r="C11" s="90" t="inlineStr">
        <is>
          <t>TC_AUTH_001</t>
        </is>
      </c>
      <c r="D11" s="91" t="inlineStr">
        <is>
          <t>Xác thực &amp; Tài khoản (04_TC_Auth_Profile)</t>
        </is>
      </c>
      <c r="E11" s="91" t="inlineStr">
        <is>
          <t>Thiếu Regex kiểm tra định dạng Email khi đăng ký tài khoản</t>
        </is>
      </c>
      <c r="F11" s="90" t="inlineStr">
        <is>
          <t>P2 - Major</t>
        </is>
      </c>
      <c r="G11" s="88" t="inlineStr">
        <is>
          <t>27/10/2026 21:46:44
(Commit: 52885c7)</t>
        </is>
      </c>
      <c r="H11" s="111" t="inlineStr">
        <is>
          <t>Failed (Open)</t>
        </is>
      </c>
      <c r="I11" s="90" t="inlineStr">
        <is>
          <t>28/10/2026 23:32:10
(Commit: 65ae81d)</t>
        </is>
      </c>
      <c r="J11" s="112" t="inlineStr">
        <is>
          <t>🟢 FIXED
(Đã khắc phục)</t>
        </is>
      </c>
      <c r="K11" s="91" t="inlineStr">
        <is>
          <t>Đã kiểm thử API POST /api/auth/register với email không có domain ("invalid_email_format"). Hệ thống trả về HTTP 400 Bad Request: "Địa chỉ email không đúng định dạng hợp lệ." Hàm IsValidEmail bằng Regex chuẩn RFC đã được tích hợp chặt chẽ.</t>
        </is>
      </c>
      <c r="L11" s="91" t="inlineStr">
        <is>
          <t>Đạt chuẩn toàn vẹn dữ liệu Email. Nghiệm thu Đóng lỗi.</t>
        </is>
      </c>
    </row>
    <row r="12" ht="55" customHeight="1" s="34">
      <c r="A12" s="86" t="n">
        <v>3</v>
      </c>
      <c r="B12" s="86" t="inlineStr">
        <is>
          <t>BUG_003</t>
        </is>
      </c>
      <c r="C12" s="86" t="inlineStr">
        <is>
          <t>TC_ADM_002</t>
        </is>
      </c>
      <c r="D12" s="87" t="inlineStr">
        <is>
          <t>Phân hệ Quản trị viên (10_TC_Admin_System)</t>
        </is>
      </c>
      <c r="E12" s="87" t="inlineStr">
        <is>
          <t>Truy cập /Admin khi chưa phân quyền trả về 302 Redirect thay vì 403 Forbidden</t>
        </is>
      </c>
      <c r="F12" s="86" t="inlineStr">
        <is>
          <t>P2 - Major</t>
        </is>
      </c>
      <c r="G12" s="88" t="inlineStr">
        <is>
          <t>27/10/2026 21:46:44
(Commit: 52885c7)</t>
        </is>
      </c>
      <c r="H12" s="111" t="inlineStr">
        <is>
          <t>Failed (Open)</t>
        </is>
      </c>
      <c r="I12" s="86" t="inlineStr">
        <is>
          <t>28/10/2026 23:32:10
(Commit: 65ae81d)</t>
        </is>
      </c>
      <c r="J12" s="112" t="inlineStr">
        <is>
          <t>🟢 FIXED
(Đã khắc phục)</t>
        </is>
      </c>
      <c r="K12" s="87" t="inlineStr">
        <is>
          <t>Gửi HTTP GET trực tiếp tới /Admin khi chưa đăng nhập quyền Admin. Hệ thống trả về chính xác mã trạng thái chuẩn RESTful HTTP 403 Forbidden (thay vì 302 Redirect lặp vòng sang login). Cấu hình OnRedirectToAccessDenied và OnRedirectToLogin trong Program.cs hoạt động chính xác.</t>
        </is>
      </c>
      <c r="L12" s="87" t="inlineStr">
        <is>
          <t>Đạt chuẩn phân quyền HTTP Security. Nghiệm thu Đóng lỗi.</t>
        </is>
      </c>
    </row>
    <row r="13" ht="55" customHeight="1" s="34">
      <c r="A13" s="90" t="n">
        <v>4</v>
      </c>
      <c r="B13" s="90" t="inlineStr">
        <is>
          <t>BUG_004</t>
        </is>
      </c>
      <c r="C13" s="90" t="inlineStr">
        <is>
          <t>TC_ONL_015</t>
        </is>
      </c>
      <c r="D13" s="91" t="inlineStr">
        <is>
          <t>Đấu trực tuyến &amp; Vận hành ván cờ (07_TC_Online_SignalR)</t>
        </is>
      </c>
      <c r="E13" s="91" t="inlineStr">
        <is>
          <t>Vẫn cho phép đi quân cờ sau khi người chơi đã bấm Xin hàng (Surrender)</t>
        </is>
      </c>
      <c r="F13" s="90" t="inlineStr">
        <is>
          <t>P1 - Blocker</t>
        </is>
      </c>
      <c r="G13" s="88" t="inlineStr">
        <is>
          <t>27/10/2026 21:46:44
(Commit: 52885c7)</t>
        </is>
      </c>
      <c r="H13" s="111" t="inlineStr">
        <is>
          <t>Failed (Open)</t>
        </is>
      </c>
      <c r="I13" s="90" t="inlineStr">
        <is>
          <t>28/10/2026 23:32:10
(Commit: 65ae81d)</t>
        </is>
      </c>
      <c r="J13" s="112" t="inlineStr">
        <is>
          <t>🟢 FIXED
(Đã khắc phục)</t>
        </is>
      </c>
      <c r="K13" s="91" t="inlineStr">
        <is>
          <t>Đã thử nghiệm quy trình Xin hàng trên ván cờ đang diễn ra. Khi người chơi gửi yêu cầu resign, game ngay lập tức chuyển trạng thái "BlackWins"/"RedWins" (HTTP 200). Các nước đi tiếp theo bị backend chặn đứng 100% với HTTP 400 "Ván đấu đã kết thúc." File game.js đã bổ sung gửi kèm JWT Authorization header và credentials.</t>
        </is>
      </c>
      <c r="L13" s="91" t="inlineStr">
        <is>
          <t>Xử lý kết thúc ván cờ triệt để. Nghiệm thu Đóng lỗi Blocker.</t>
        </is>
      </c>
    </row>
    <row r="14" ht="55" customHeight="1" s="34">
      <c r="A14" s="86" t="n">
        <v>5</v>
      </c>
      <c r="B14" s="86" t="inlineStr">
        <is>
          <t>BUG_005</t>
        </is>
      </c>
      <c r="C14" s="86" t="inlineStr">
        <is>
          <t>TC_COU_009</t>
        </is>
      </c>
      <c r="D14" s="87" t="inlineStr">
        <is>
          <t>Học viện &amp; Kỳ phổ (09_TC_Course_Master)</t>
        </is>
      </c>
      <c r="E14" s="87" t="inlineStr">
        <is>
          <t>Chuyển hướng âm thầm (Silent Redirect) nuốt mất thông báo cảnh báo chứng chỉ</t>
        </is>
      </c>
      <c r="F14" s="86" t="inlineStr">
        <is>
          <t>P2 - Major</t>
        </is>
      </c>
      <c r="G14" s="88" t="inlineStr">
        <is>
          <t>27/10/2026 21:46:44
(Commit: 52885c7)</t>
        </is>
      </c>
      <c r="H14" s="111" t="inlineStr">
        <is>
          <t>Failed (Open)</t>
        </is>
      </c>
      <c r="I14" s="86" t="inlineStr">
        <is>
          <t>28/10/2026 23:32:10
(Commit: 65ae81d)</t>
        </is>
      </c>
      <c r="J14" s="112" t="inlineStr">
        <is>
          <t>🟢 FIXED
(Đã khắc phục)</t>
        </is>
      </c>
      <c r="K14" s="87" t="inlineStr">
        <is>
          <t>Đăng nhập tài khoản 0% tiến độ và truy cập URL /Course/Certificate. Hệ thống chặn cấp chứng chỉ, đồng thời chuyển hướng về /Course và hiển thị nổi bật Banner cảnh báo vàng trang trọng: "Bạn cần hoàn thành đầy đủ cả 4 Module để được cấp Chứng chỉ hoàn thành." Người dùng được giải thích lý do minh bạch, không còn chuyển hướng âm thầm.</t>
        </is>
      </c>
      <c r="L14" s="87" t="inlineStr">
        <is>
          <t>Trải nghiệm người dùng và nghiệp vụ khóa học hoàn hảo. Nghiệm thu Đóng lỗi.</t>
        </is>
      </c>
    </row>
    <row r="15" ht="55" customHeight="1" s="34">
      <c r="A15" s="90" t="n">
        <v>6</v>
      </c>
      <c r="B15" s="90" t="inlineStr">
        <is>
          <t>BUG_006</t>
        </is>
      </c>
      <c r="C15" s="90" t="inlineStr">
        <is>
          <t>TC_COU_008</t>
        </is>
      </c>
      <c r="D15" s="91" t="inlineStr">
        <is>
          <t>Học viện &amp; Kỳ phổ (09_TC_Course_Master)</t>
        </is>
      </c>
      <c r="E15" s="91" t="inlineStr">
        <is>
          <t>API tiến độ khóa học không chặn ngưỡng điểm Quiz (Chấp nhận điểm 999999%)</t>
        </is>
      </c>
      <c r="F15" s="90" t="inlineStr">
        <is>
          <t>P3 - Minor</t>
        </is>
      </c>
      <c r="G15" s="88" t="inlineStr">
        <is>
          <t>27/10/2026 21:46:44
(Commit: 52885c7)</t>
        </is>
      </c>
      <c r="H15" s="111" t="inlineStr">
        <is>
          <t>Failed (Open)</t>
        </is>
      </c>
      <c r="I15" s="90" t="inlineStr">
        <is>
          <t>28/10/2026 23:32:10
(Commit: 65ae81d)</t>
        </is>
      </c>
      <c r="J15" s="112" t="inlineStr">
        <is>
          <t>🟢 FIXED
(Đã khắc phục)</t>
        </is>
      </c>
      <c r="K15" s="91" t="inlineStr">
        <is>
          <t>Gửi POST /api/courses/progress với quizScore = 999999. Backend sử dụng Math.Clamp(request.QuizScore, 0, 100) để giới hạn điểm số trong khoảng [0, 100], loại bỏ hoàn toàn khả năng ghi nhận điểm số bất thường vào database đối với cả người dùng đã đăng nhập lẫn khách vãng lai.</t>
        </is>
      </c>
      <c r="L15" s="91" t="inlineStr">
        <is>
          <t>Toàn vẹn dữ liệu điểm số Quiz. Nghiệm thu Đóng lỗi.</t>
        </is>
      </c>
    </row>
    <row r="16" ht="55" customHeight="1" s="34">
      <c r="A16" s="86" t="n">
        <v>7</v>
      </c>
      <c r="B16" s="86" t="inlineStr">
        <is>
          <t>BUG_007</t>
        </is>
      </c>
      <c r="C16" s="86" t="inlineStr">
        <is>
          <t>TC_ADM_009</t>
        </is>
      </c>
      <c r="D16" s="87" t="inlineStr">
        <is>
          <t>Phân hệ Quản trị viên (10_TC_Admin_System)</t>
        </is>
      </c>
      <c r="E16" s="87" t="inlineStr">
        <is>
          <t>Chức năng Xóa bài cờ thế trong Admin trả về HTTP 200 khi ID không tồn tại</t>
        </is>
      </c>
      <c r="F16" s="86" t="inlineStr">
        <is>
          <t>P3 - Minor</t>
        </is>
      </c>
      <c r="G16" s="88" t="inlineStr">
        <is>
          <t>27/10/2026 21:46:44
(Commit: 52885c7)</t>
        </is>
      </c>
      <c r="H16" s="111" t="inlineStr">
        <is>
          <t>Failed (Open)</t>
        </is>
      </c>
      <c r="I16" s="86" t="inlineStr">
        <is>
          <t>28/10/2026 23:32:10
(Commit: 65ae81d)</t>
        </is>
      </c>
      <c r="J16" s="112" t="inlineStr">
        <is>
          <t>🟢 FIXED
(Đã khắc phục)</t>
        </is>
      </c>
      <c r="K16" s="87" t="inlineStr">
        <is>
          <t>Kiểm tra action DeletePuzzle trong AdminController.cs với ID thế cờ không tồn tại (ID 999999). Mã nguồn đã bổ sung kiểm tra tồn tại và trả về đúng HTTP 404 NotFound kèm TempData thông báo lỗi rõ ràng thay vì bỏ qua âm thầm.</t>
        </is>
      </c>
      <c r="L16" s="87" t="inlineStr">
        <is>
          <t>Xử lý ngoại lệ chuẩn HTTP 404. Nghiệm thu Đóng lỗi.</t>
        </is>
      </c>
    </row>
    <row r="17" ht="55" customHeight="1" s="34">
      <c r="A17" s="90" t="n">
        <v>8</v>
      </c>
      <c r="B17" s="90" t="inlineStr">
        <is>
          <t>BUG_008</t>
        </is>
      </c>
      <c r="C17" s="90" t="inlineStr">
        <is>
          <t>TC_AUTH_011</t>
        </is>
      </c>
      <c r="D17" s="91" t="inlineStr">
        <is>
          <t>Xác thực &amp; Tài khoản (04_TC_Auth_Profile)</t>
        </is>
      </c>
      <c r="E17" s="91" t="inlineStr">
        <is>
          <t>Rò rỉ mã OTP đặt lại mật khẩu trực tiếp lên giao diện khi lỗi SMTP</t>
        </is>
      </c>
      <c r="F17" s="90" t="inlineStr">
        <is>
          <t>P1 - Blocker</t>
        </is>
      </c>
      <c r="G17" s="88" t="inlineStr">
        <is>
          <t>27/10/2026 21:46:44
(Commit: 52885c7)</t>
        </is>
      </c>
      <c r="H17" s="111" t="inlineStr">
        <is>
          <t>Failed (Open)</t>
        </is>
      </c>
      <c r="I17" s="90" t="inlineStr">
        <is>
          <t>28/10/2026 23:32:10
(Commit: 65ae81d)</t>
        </is>
      </c>
      <c r="J17" s="112" t="inlineStr">
        <is>
          <t>🟢 FIXED
(Đã khắc phục)</t>
        </is>
      </c>
      <c r="K17" s="91" t="inlineStr">
        <is>
          <t>Kiểm tra chức năng Quên mật khẩu trong tình huống lỗi SMTP / không kết nối được máy chủ mail. TempData["OtpMessage"] đã loại bỏ hoàn toàn chuỗi in OTP thử nghiệm, chỉ hiển thị thông báo trung tính: "Không thể gửi email OTP lúc này. Vui lòng kiểm tra kết nối mạng hoặc thử lại sau." Triệt tiêu 100% rò rỉ mã OTP bí mật.</t>
        </is>
      </c>
      <c r="L17" s="91" t="inlineStr">
        <is>
          <t>Khắc phục triệt để lỗ hổng an ninh nghiêm trọng. Nghiệm thu Đóng lỗi Blocker.</t>
        </is>
      </c>
    </row>
    <row r="18" ht="55" customHeight="1" s="34">
      <c r="A18" s="86" t="n">
        <v>9</v>
      </c>
      <c r="B18" s="86" t="inlineStr">
        <is>
          <t>BUG_009</t>
        </is>
      </c>
      <c r="C18" s="86" t="inlineStr">
        <is>
          <t>TC_AUTH_016</t>
        </is>
      </c>
      <c r="D18" s="87" t="inlineStr">
        <is>
          <t>Xác thực &amp; Tài khoản (04_TC_Auth_Profile)</t>
        </is>
      </c>
      <c r="E18" s="87" t="inlineStr">
        <is>
          <t>Nhận thưởng nhiệm vụ ngày không kiểm tra điều kiện hoàn thành và cho phép spam nhận thưởng liên tục</t>
        </is>
      </c>
      <c r="F18" s="86" t="inlineStr">
        <is>
          <t>P2 - Major</t>
        </is>
      </c>
      <c r="G18" s="88" t="inlineStr">
        <is>
          <t>27/10/2026 21:46:44
(Commit: 52885c7)</t>
        </is>
      </c>
      <c r="H18" s="111" t="inlineStr">
        <is>
          <t>Failed (Open)</t>
        </is>
      </c>
      <c r="I18" s="86" t="inlineStr">
        <is>
          <t>28/10/2026 23:32:10
(Commit: 65ae81d)</t>
        </is>
      </c>
      <c r="J18" s="112" t="inlineStr">
        <is>
          <t>🟢 FIXED
(Đã khắc phục)</t>
        </is>
      </c>
      <c r="K18" s="87" t="inlineStr">
        <is>
          <t>Gửi POST /api/quests/ai/claim khi tài khoản chưa có trận thắng AI nào. Hệ thống từ chối với HTTP 400: "Bạn chưa hoàn thành mục tiêu của nhiệm vụ này để nhận thưởng." Đồng thời bộ nhớ cache _claimedQuests đảm bảo mỗi nhiệm vụ chỉ được nhận thưởng duy nhất 1 lần trong ngày, chống spam tuyệt đối.</t>
        </is>
      </c>
      <c r="L18" s="87" t="inlineStr">
        <is>
          <t>Logic nhận thưởng nhiệm vụ đạt chuẩn chặt chẽ. Nghiệm thu Đóng lỗi.</t>
        </is>
      </c>
    </row>
    <row r="19" ht="55" customHeight="1" s="34">
      <c r="A19" s="90" t="n">
        <v>10</v>
      </c>
      <c r="B19" s="90" t="inlineStr">
        <is>
          <t>BUG_010</t>
        </is>
      </c>
      <c r="C19" s="90" t="inlineStr">
        <is>
          <t>TC_AUTH_010</t>
        </is>
      </c>
      <c r="D19" s="91" t="inlineStr">
        <is>
          <t>Xác thực &amp; Tài khoản (04_TC_Auth_Profile)</t>
        </is>
      </c>
      <c r="E19" s="91" t="inlineStr">
        <is>
          <t>Thiếu cơ chế Rate Limiting và khóa tài khoản khi đăng nhập sai nhiều lần (Brute-Force Vulnerability)</t>
        </is>
      </c>
      <c r="F19" s="90" t="inlineStr">
        <is>
          <t>P2 - Major</t>
        </is>
      </c>
      <c r="G19" s="88" t="inlineStr">
        <is>
          <t>27/10/2026 21:46:44
(Commit: 52885c7)</t>
        </is>
      </c>
      <c r="H19" s="111" t="inlineStr">
        <is>
          <t>Failed (Open)</t>
        </is>
      </c>
      <c r="I19" s="90" t="inlineStr">
        <is>
          <t>28/10/2026 23:32:10
(Commit: 65ae81d)</t>
        </is>
      </c>
      <c r="J19" s="112" t="inlineStr">
        <is>
          <t>🟢 FIXED
(Đã khắc phục)</t>
        </is>
      </c>
      <c r="K19" s="91" t="inlineStr">
        <is>
          <t>Gửi 5 yêu cầu đăng nhập sai mật khẩu liên tiếp. Tại lần thứ 5, hệ thống lập tức kích hoạt khóa bảo vệ IP và tài khoản, trả về HTTP 429 Too Many Requests: "Bạn đã nhập sai mật khẩu 5 lần liên tiếp. Tài khoản tạm thời bị khóa trong 1 phút để bảo mật." Chống tấn công dò mật khẩu tự động hiệu quả.</t>
        </is>
      </c>
      <c r="L19" s="91" t="inlineStr">
        <is>
          <t>Đạt chuẩn an ninh chống Brute-force OWASP. Nghiệm thu Đóng lỗi.</t>
        </is>
      </c>
    </row>
    <row r="20" ht="55" customHeight="1" s="34">
      <c r="A20" s="86" t="n">
        <v>11</v>
      </c>
      <c r="B20" s="86" t="inlineStr">
        <is>
          <t>BUG_011</t>
        </is>
      </c>
      <c r="C20" s="86" t="inlineStr">
        <is>
          <t>TC_GAME_013</t>
        </is>
      </c>
      <c r="D20" s="87" t="inlineStr">
        <is>
          <t>Vận hành ván cờ &amp; AI (06_TC_Game_Play)</t>
        </is>
      </c>
      <c r="E20" s="87" t="inlineStr">
        <is>
          <t>Tạo ván cờ với chuỗi FEN sai cú pháp âm thầm nuốt lỗi và tự động gán thế cờ mặc định</t>
        </is>
      </c>
      <c r="F20" s="86" t="inlineStr">
        <is>
          <t>P3 - Minor</t>
        </is>
      </c>
      <c r="G20" s="88" t="inlineStr">
        <is>
          <t>27/10/2026 21:46:44
(Commit: 52885c7)</t>
        </is>
      </c>
      <c r="H20" s="111" t="inlineStr">
        <is>
          <t>Failed (Open)</t>
        </is>
      </c>
      <c r="I20" s="86" t="inlineStr">
        <is>
          <t>28/10/2026 23:32:10
(Commit: 65ae81d)</t>
        </is>
      </c>
      <c r="J20" s="112" t="inlineStr">
        <is>
          <t>🟢 FIXED
(Đã khắc phục)</t>
        </is>
      </c>
      <c r="K20" s="87" t="inlineStr">
        <is>
          <t>Gửi POST /api/games với initialFen không hợp lệ. Hệ thống gọi Board.TryParseFen, phát hiện lỗi cú pháp và trả về HTTP 400 Bad Request kèm chi tiết nguyên nhân: "Chuỗi FEN không hợp lệ: FEN phải có đúng 10 hàng, ngăn cách bằng dấu '/'." Không còn nuốt lỗi hoặc tự ý gán bàn cờ chuẩn.</t>
        </is>
      </c>
      <c r="L20" s="87" t="inlineStr">
        <is>
          <t>Bắt lỗi FEN chặt chẽ và tường minh. Nghiệm thu Đóng lỗi.</t>
        </is>
      </c>
    </row>
    <row r="21" ht="55" customHeight="1" s="34">
      <c r="A21" s="90" t="n">
        <v>12</v>
      </c>
      <c r="B21" s="90" t="inlineStr">
        <is>
          <t>BUG_012</t>
        </is>
      </c>
      <c r="C21" s="90" t="inlineStr">
        <is>
          <t>TC_ONL_016</t>
        </is>
      </c>
      <c r="D21" s="91" t="inlineStr">
        <is>
          <t>Đấu trực tuyến &amp; Vận hành ván cờ (07_TC_Online_SignalR)</t>
        </is>
      </c>
      <c r="E21" s="91" t="inlineStr">
        <is>
          <t>Tái đấu (Rematch) ép đối thủ vào ván mới mà không cần đối thủ xác nhận đồng ý</t>
        </is>
      </c>
      <c r="F21" s="90" t="inlineStr">
        <is>
          <t>P2 - Major</t>
        </is>
      </c>
      <c r="G21" s="88" t="inlineStr">
        <is>
          <t>27/10/2026 21:46:44
(Commit: 52885c7)</t>
        </is>
      </c>
      <c r="H21" s="111" t="inlineStr">
        <is>
          <t>Failed (Open)</t>
        </is>
      </c>
      <c r="I21" s="90" t="inlineStr">
        <is>
          <t>28/10/2026 23:32:10
(Commit: 65ae81d)</t>
        </is>
      </c>
      <c r="J21" s="112" t="inlineStr">
        <is>
          <t>🟢 FIXED
(Đã khắc phục)</t>
        </is>
      </c>
      <c r="K21" s="91" t="inlineStr">
        <is>
          <t>Kiểm tra quy trình POST /api/games/{id}/rematch. Khi người chơi thứ nhất bấm Tái đấu, backend lưu vào _rematchOffers, phát sự kiện SignalR RematchOffered ("Đối thủ gửi lời mời tái đấu. Bạn có đồng ý không?") và trả về thông báo chờ đối thủ. Chỉ khi người chơi thứ hai xác nhận đồng ý thì trận đấu mới chính thức được khởi tạo.</t>
        </is>
      </c>
      <c r="L21" s="91" t="inlineStr">
        <is>
          <t>Quy trình bắt tay 2 pha chuẩn mực cho game đối kháng Online. Nghiệm thu Đóng lỗi.</t>
        </is>
      </c>
    </row>
    <row r="22" ht="55" customHeight="1" s="34">
      <c r="A22" s="86" t="n">
        <v>13</v>
      </c>
      <c r="B22" s="86" t="inlineStr">
        <is>
          <t>BUG_013</t>
        </is>
      </c>
      <c r="C22" s="86" t="inlineStr">
        <is>
          <t>TC_COU_006</t>
        </is>
      </c>
      <c r="D22" s="87" t="inlineStr">
        <is>
          <t>Học viện &amp; Kỳ phổ (09_TC_Course_Master)</t>
        </is>
      </c>
      <c r="E22" s="87" t="inlineStr">
        <is>
          <t>API lưu tiến độ học tập của Khách vãng lai trả về HTTP 200 cho Lesson ID không tồn tại</t>
        </is>
      </c>
      <c r="F22" s="86" t="inlineStr">
        <is>
          <t>P3 - Minor</t>
        </is>
      </c>
      <c r="G22" s="88" t="inlineStr">
        <is>
          <t>27/10/2026 21:46:44
(Commit: 52885c7)</t>
        </is>
      </c>
      <c r="H22" s="111" t="inlineStr">
        <is>
          <t>Failed (Open)</t>
        </is>
      </c>
      <c r="I22" s="86" t="inlineStr">
        <is>
          <t>28/10/2026 23:32:10
(Commit: 65ae81d)</t>
        </is>
      </c>
      <c r="J22" s="112" t="inlineStr">
        <is>
          <t>🟢 FIXED
(Đã khắc phục)</t>
        </is>
      </c>
      <c r="K22" s="87" t="inlineStr">
        <is>
          <t>Gửi POST /api/courses/progress với lessonId = 999999 khi chưa đăng nhập. Backend kiểm tra _context.CourseLessons.AnyAsync, nhận thấy ID không tồn tại và trả về HTTP 404 NotFound: "Không tìm thấy bài học trong hệ thống." Ngăn chặn dữ liệu ảo.</t>
        </is>
      </c>
      <c r="L22" s="87" t="inlineStr">
        <is>
          <t>Xác thực tính hợp lệ của khóa ngoại chính xác. Nghiệm thu Đóng lỗi.</t>
        </is>
      </c>
    </row>
    <row r="23" ht="55" customHeight="1" s="34">
      <c r="A23" s="90" t="n">
        <v>14</v>
      </c>
      <c r="B23" s="90" t="inlineStr">
        <is>
          <t>BUG_014</t>
        </is>
      </c>
      <c r="C23" s="90" t="inlineStr">
        <is>
          <t>TC_ADM_005</t>
        </is>
      </c>
      <c r="D23" s="91" t="inlineStr">
        <is>
          <t>Phân hệ Quản trị viên (10_TC_Admin_System)</t>
        </is>
      </c>
      <c r="E23" s="91" t="inlineStr">
        <is>
          <t>Chức năng Khóa / Mở khóa người dùng hoàn toàn chưa được hiện thực trong CSDL và Controller</t>
        </is>
      </c>
      <c r="F23" s="90" t="inlineStr">
        <is>
          <t>P2 - Major</t>
        </is>
      </c>
      <c r="G23" s="88" t="inlineStr">
        <is>
          <t>27/10/2026 21:46:44
(Commit: 52885c7)</t>
        </is>
      </c>
      <c r="H23" s="111" t="inlineStr">
        <is>
          <t>Failed (Open)</t>
        </is>
      </c>
      <c r="I23" s="90" t="inlineStr">
        <is>
          <t>28/10/2026 23:32:10
(Commit: 65ae81d)</t>
        </is>
      </c>
      <c r="J23" s="112" t="inlineStr">
        <is>
          <t>🟢 FIXED
(Đã khắc phục)</t>
        </is>
      </c>
      <c r="K23" s="91" t="inlineStr">
        <is>
          <t>Kiểm tra đồng bộ 3 tầng: (1) CSDL có thuộc tính IsLocked kiểu bool trong Model User; (2) AdminController.cs có action ToggleLockUser xử lý đảo trạng thái khóa; (3) View Users.cshtml hiển thị nút Khóa / Mở khóa động, icon fa-lock / fa-lock-open và badge trạng thái tài khoản. Thử nghiệm khóa tài khoản thành công 100%.</t>
        </is>
      </c>
      <c r="L23" s="91" t="inlineStr">
        <is>
          <t>Tính năng quản trị người dùng hoàn chỉnh toàn diện. Nghiệm thu Đóng lỗi.</t>
        </is>
      </c>
    </row>
    <row r="24" ht="55" customHeight="1" s="34">
      <c r="A24" s="86" t="n">
        <v>15</v>
      </c>
      <c r="B24" s="86" t="inlineStr">
        <is>
          <t>BUG_015</t>
        </is>
      </c>
      <c r="C24" s="86" t="inlineStr">
        <is>
          <t>TC_ADM_008</t>
        </is>
      </c>
      <c r="D24" s="87" t="inlineStr">
        <is>
          <t>Phân hệ Quản trị viên (10_TC_Admin_System)</t>
        </is>
      </c>
      <c r="E24" s="87" t="inlineStr">
        <is>
          <t>CMS Admin cho phép thêm bài cờ thế với chuỗi FEN sai cú pháp hoặc rác vào CSDL</t>
        </is>
      </c>
      <c r="F24" s="86" t="inlineStr">
        <is>
          <t>P3 - Minor</t>
        </is>
      </c>
      <c r="G24" s="88" t="inlineStr">
        <is>
          <t>27/10/2026 21:46:44
(Commit: 52885c7)</t>
        </is>
      </c>
      <c r="H24" s="111" t="inlineStr">
        <is>
          <t>Failed (Open)</t>
        </is>
      </c>
      <c r="I24" s="86" t="inlineStr">
        <is>
          <t>28/10/2026 23:32:10
(Commit: 65ae81d)</t>
        </is>
      </c>
      <c r="J24" s="112" t="inlineStr">
        <is>
          <t>🟢 FIXED
(Đã khắc phục)</t>
        </is>
      </c>
      <c r="K24" s="87" t="inlineStr">
        <is>
          <t>Kiểm tra action CreatePuzzle và EditPuzzle trong AdminController. Cả hai action đều sử dụng Board.TryParseFen(puzzle.Fen.Trim(), out _, out string fenError) để kiểm tra chặt chẽ cấu trúc FEN trước khi cho phép lưu. Nếu FEN sai, hệ thống lập tức thông báo lỗi và không cho ghi vào CSDL.</t>
        </is>
      </c>
      <c r="L24" s="87" t="inlineStr">
        <is>
          <t>Ngăn ngừa lỗi hỏng bàn cờ thế trên CMS Admin. Nghiệm thu Đóng lỗi.</t>
        </is>
      </c>
    </row>
    <row r="25" ht="55" customHeight="1" s="34">
      <c r="A25" s="90" t="n">
        <v>16</v>
      </c>
      <c r="B25" s="90" t="inlineStr">
        <is>
          <t>BUG_016</t>
        </is>
      </c>
      <c r="C25" s="90" t="inlineStr">
        <is>
          <t>TC_AUTH_002</t>
        </is>
      </c>
      <c r="D25" s="91" t="inlineStr">
        <is>
          <t>Xác thực &amp; Tài khoản (04_TC_Auth_Profile)</t>
        </is>
      </c>
      <c r="E25" s="91" t="inlineStr">
        <is>
          <t>Cho phép đăng ký Username chứa mã độc XSS &lt;script&gt; không được lọc rửa (Stored XSS)</t>
        </is>
      </c>
      <c r="F25" s="90" t="inlineStr">
        <is>
          <t>P2 - Major</t>
        </is>
      </c>
      <c r="G25" s="88" t="inlineStr">
        <is>
          <t>27/10/2026 21:46:44
(Commit: 52885c7)</t>
        </is>
      </c>
      <c r="H25" s="111" t="inlineStr">
        <is>
          <t>Failed (Open)</t>
        </is>
      </c>
      <c r="I25" s="90" t="inlineStr">
        <is>
          <t>28/10/2026 23:32:10
(Commit: 65ae81d)</t>
        </is>
      </c>
      <c r="J25" s="112" t="inlineStr">
        <is>
          <t>🟢 FIXED
(Đã khắc phục)</t>
        </is>
      </c>
      <c r="K25" s="91" t="inlineStr">
        <is>
          <t>Gửi POST /api/auth/register với username chứa payload XSS '&lt;script&gt;alert(1)&lt;/script&gt;'. Backend bắt lỗi và trả về HTTP 400 Bad Request: "Tên đăng nhập không hợp lệ. Chỉ chấp nhận chữ cái, số, gạch dưới (_) hoặc gạch ngang (-) từ 3 đến 30 ký tự, không chứa ký tự đặc biệt hoặc mã script." Triệt tiêu hoàn toàn Stored XSS.</t>
        </is>
      </c>
      <c r="L25" s="91" t="inlineStr">
        <is>
          <t>Đạt chuẩn an ninh bảo vệ chống XSS. Nghiệm thu Đóng lỗi.</t>
        </is>
      </c>
    </row>
    <row r="26" ht="55" customHeight="1" s="34">
      <c r="A26" s="86" t="n">
        <v>17</v>
      </c>
      <c r="B26" s="86" t="inlineStr">
        <is>
          <t>BUG_017</t>
        </is>
      </c>
      <c r="C26" s="86" t="inlineStr">
        <is>
          <t>TC_GAME_001</t>
        </is>
      </c>
      <c r="D26" s="87" t="inlineStr">
        <is>
          <t>Chế độ chơi &amp; AI (06_TC_Game_Play)</t>
        </is>
      </c>
      <c r="E26" s="87" t="inlineStr">
        <is>
          <t>API tạo ván cờ chấp nhận thời gian thi đấu âm (timeControl = -999)</t>
        </is>
      </c>
      <c r="F26" s="86" t="inlineStr">
        <is>
          <t>P3 - Minor</t>
        </is>
      </c>
      <c r="G26" s="88" t="inlineStr">
        <is>
          <t>27/10/2026 21:46:44
(Commit: 52885c7)</t>
        </is>
      </c>
      <c r="H26" s="111" t="inlineStr">
        <is>
          <t>Failed (Open)</t>
        </is>
      </c>
      <c r="I26" s="86" t="inlineStr">
        <is>
          <t>28/10/2026 23:32:10
(Commit: 65ae81d)</t>
        </is>
      </c>
      <c r="J26" s="112" t="inlineStr">
        <is>
          <t>🟢 FIXED
(Đã khắc phục)</t>
        </is>
      </c>
      <c r="K26" s="87" t="inlineStr">
        <is>
          <t>Gửi POST /api/games với timeControl = -999. Backend kiểm tra targetTime.Value &lt;= 0 || targetTime.Value &gt; 180 và trả về HTTP 400 Bad Request: "Thời gian thi đấu không hợp lệ. Phải từ 1 đến 180 phút." Loại bỏ hoàn toàn lỗi đồng hồ đếm ngược âm.</t>
        </is>
      </c>
      <c r="L26" s="87" t="inlineStr">
        <is>
          <t>Ràng buộc thời gian thi đấu chuẩn xác. Nghiệm thu Đóng lỗi.</t>
        </is>
      </c>
    </row>
  </sheetData>
  <mergeCells count="10">
    <mergeCell ref="J5:L5"/>
    <mergeCell ref="A2:L2"/>
    <mergeCell ref="G6:I7"/>
    <mergeCell ref="D6:F7"/>
    <mergeCell ref="A6:C7"/>
    <mergeCell ref="J6:L7"/>
    <mergeCell ref="D5:F5"/>
    <mergeCell ref="A5:C5"/>
    <mergeCell ref="G5:I5"/>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2026-10-27T13:35:53Z</dcterms:created>
  <dcterms:modified xmlns:dcterms="http://purl.org/dc/terms/" xmlns:xsi="http://www.w3.org/2001/XMLSchema-instance" xsi:type="dcterms:W3CDTF">2026-10-28T17:27:50Z</dcterms:modified>
  <cp:lastModifiedBy>Chu Văn Quốc Trung</cp:lastModifiedBy>
</cp:coreProperties>
</file>